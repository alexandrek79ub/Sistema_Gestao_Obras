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Fluxo Analítico" sheetId="2" state="visible" r:id="rId2"/>
    <sheet name="Cenários de Sensibilida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365D"/>
      <sz val="11"/>
    </font>
    <font>
      <name val="Calibri"/>
      <b val="1"/>
      <color rgb="00137333"/>
      <sz val="11"/>
    </font>
    <font>
      <name val="Calibri"/>
      <b val="1"/>
      <color rgb="00C5221F"/>
      <sz val="11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99B26"/>
        <bgColor rgb="00D99B26"/>
      </patternFill>
    </fill>
    <fill>
      <patternFill patternType="solid">
        <fgColor rgb="00F4F6F9"/>
        <bgColor rgb="00F4F6F9"/>
      </patternFill>
    </fill>
    <fill>
      <patternFill patternType="solid">
        <fgColor rgb="00E6F4EA"/>
        <bgColor rgb="00E6F4EA"/>
      </patternFill>
    </fill>
    <fill>
      <patternFill patternType="solid">
        <fgColor rgb="00FCE8E6"/>
        <bgColor rgb="00FCE8E6"/>
      </patternFill>
    </fill>
    <fill>
      <patternFill patternType="solid">
        <fgColor rgb="00E8EEF5"/>
        <bgColor rgb="00E8EEF5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double">
        <color rgb="001B365D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right" vertical="center"/>
    </xf>
    <xf numFmtId="10" fontId="3" fillId="4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right" vertical="center"/>
    </xf>
    <xf numFmtId="49" fontId="3" fillId="0" borderId="1" applyAlignment="1" pivotButton="0" quotePrefix="0" xfId="0">
      <alignment horizontal="right" vertical="center"/>
    </xf>
    <xf numFmtId="49" fontId="3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 wrapText="1"/>
    </xf>
    <xf numFmtId="164" fontId="4" fillId="5" borderId="2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 wrapText="1"/>
    </xf>
    <xf numFmtId="164" fontId="6" fillId="8" borderId="2" applyAlignment="1" pivotButton="0" quotePrefix="0" xfId="0">
      <alignment horizontal="right" vertical="center"/>
    </xf>
    <xf numFmtId="164" fontId="5" fillId="8" borderId="2" applyAlignment="1" pivotButton="0" quotePrefix="0" xfId="0">
      <alignment horizontal="right" vertical="center"/>
    </xf>
    <xf numFmtId="164" fontId="4" fillId="8" borderId="2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Curva de Balanço Financeiro (Saldo de Caixa Acumulado - Cenário Realista)</a:t>
            </a:r>
          </a:p>
        </rich>
      </tx>
    </title>
    <plotArea>
      <lineChart>
        <grouping val="standard"/>
        <ser>
          <idx val="0"/>
          <order val="0"/>
          <tx>
            <strRef>
              <f>'Resumo Executivo'!F17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'Resumo Executivo'!$B$18:$B$24</f>
            </numRef>
          </cat>
          <val>
            <numRef>
              <f>'Resumo Executivo'!$F$18:$F$24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Cronograma (Meses)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Saldo Acumulado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Entradas vs Saídas de Caixa por Mês (Inflows vs Outflows)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 Executivo'!C17</f>
            </strRef>
          </tx>
          <spPr>
            <a:ln>
              <a:prstDash val="solid"/>
            </a:ln>
          </spPr>
          <cat>
            <numRef>
              <f>'Resumo Executivo'!$B$18:$B$24</f>
            </numRef>
          </cat>
          <val>
            <numRef>
              <f>'Resumo Executivo'!$C$18:$C$24</f>
            </numRef>
          </val>
        </ser>
        <ser>
          <idx val="1"/>
          <order val="1"/>
          <tx>
            <strRef>
              <f>'Resumo Executivo'!D17</f>
            </strRef>
          </tx>
          <spPr>
            <a:ln>
              <a:prstDash val="solid"/>
            </a:ln>
          </spPr>
          <cat>
            <numRef>
              <f>'Resumo Executivo'!$B$18:$B$24</f>
            </numRef>
          </cat>
          <val>
            <numRef>
              <f>'Resumo Executivo'!$D$18:$D$24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Mensal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18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5"/>
  <sheetViews>
    <sheetView showGridLines="1" workbookViewId="0">
      <selection activeCell="A1" sqref="A1"/>
    </sheetView>
  </sheetViews>
  <sheetFormatPr baseColWidth="8" defaultRowHeight="15"/>
  <cols>
    <col width="15" customWidth="1" min="2" max="2"/>
    <col width="18" customWidth="1" min="3" max="3"/>
    <col width="18" customWidth="1" min="4" max="4"/>
    <col width="18" customWidth="1" min="5" max="5"/>
    <col width="22" customWidth="1" min="6" max="6"/>
    <col width="10" customWidth="1" min="7" max="7"/>
    <col width="10" customWidth="1" min="8" max="8"/>
    <col width="10" customWidth="1" min="9" max="9"/>
  </cols>
  <sheetData>
    <row r="2" ht="35" customHeight="1">
      <c r="B2" s="1" t="inlineStr">
        <is>
          <t>RELATÓRIO FINANCEIRO EXECUTIVO — FLUXO DE CAIXA E CAPITAL DE GIRO</t>
        </is>
      </c>
    </row>
    <row r="3" ht="22" customHeight="1">
      <c r="B3" s="2" t="inlineStr">
        <is>
          <t>Empreendimento: TMULT — Terminal Multiuso (Porto do Açu) — Edifício Administrativo | Prazo: 6 Meses (180 Dias) | Baseline 01</t>
        </is>
      </c>
    </row>
    <row r="5">
      <c r="B5" s="3" t="inlineStr">
        <is>
          <t>INDICADORES FINANCEIROS E PARÂMETROS DE LIQUIDEZ</t>
        </is>
      </c>
    </row>
    <row r="6">
      <c r="B6" s="4" t="inlineStr">
        <is>
          <t>Preço Global Turnkey da Obra</t>
        </is>
      </c>
      <c r="C6" s="4" t="n"/>
      <c r="D6" s="4" t="n"/>
      <c r="E6" s="5" t="n">
        <v>1660762.28</v>
      </c>
    </row>
    <row r="7">
      <c r="B7" s="6" t="inlineStr">
        <is>
          <t>Custo Direto Total da Obra</t>
        </is>
      </c>
      <c r="C7" s="6" t="n"/>
      <c r="D7" s="6" t="n"/>
      <c r="E7" s="7" t="n">
        <v>1314562.67</v>
      </c>
    </row>
    <row r="8">
      <c r="B8" s="4" t="inlineStr">
        <is>
          <t>Total de Impostos s/ Faturamento (8,65%)</t>
        </is>
      </c>
      <c r="C8" s="4" t="n"/>
      <c r="D8" s="4" t="n"/>
      <c r="E8" s="5" t="n">
        <v>143655.93</v>
      </c>
    </row>
    <row r="9">
      <c r="B9" s="6" t="inlineStr">
        <is>
          <t>Despesas Administrativas Centrais BDI</t>
        </is>
      </c>
      <c r="C9" s="6" t="n"/>
      <c r="D9" s="6" t="n"/>
      <c r="E9" s="7" t="n">
        <v>98649.3</v>
      </c>
    </row>
    <row r="10">
      <c r="B10" s="8" t="inlineStr">
        <is>
          <t>Lucro Líquido Operacional Realizado</t>
        </is>
      </c>
      <c r="C10" s="9" t="n"/>
      <c r="D10" s="9" t="n"/>
      <c r="E10" s="10" t="n">
        <v>103894.45</v>
      </c>
    </row>
    <row r="11">
      <c r="B11" s="6" t="inlineStr">
        <is>
          <t>Margem Líquida Realizada sobre Venda</t>
        </is>
      </c>
      <c r="C11" s="6" t="n"/>
      <c r="D11" s="6" t="n"/>
      <c r="E11" s="11" t="n">
        <v>0.06255829100357457</v>
      </c>
    </row>
    <row r="12">
      <c r="B12" s="4" t="inlineStr">
        <is>
          <t>Retenção Contratual Técnica (5,0%)</t>
        </is>
      </c>
      <c r="C12" s="4" t="n"/>
      <c r="D12" s="4" t="n"/>
      <c r="E12" s="5" t="n">
        <v>83038.11</v>
      </c>
    </row>
    <row r="13">
      <c r="B13" s="12" t="inlineStr">
        <is>
          <t>NECESSIDADE MÍNIMA DE CAPITAL DE GIRO</t>
        </is>
      </c>
      <c r="C13" s="13" t="n"/>
      <c r="D13" s="13" t="n"/>
      <c r="E13" s="14" t="n">
        <v>173437.91</v>
      </c>
    </row>
    <row r="14">
      <c r="B14" s="4" t="inlineStr">
        <is>
          <t>Mês de Máxima Exposição de Caixa</t>
        </is>
      </c>
      <c r="C14" s="4" t="n"/>
      <c r="D14" s="4" t="n"/>
      <c r="E14" s="15" t="inlineStr">
        <is>
          <t>Mês 3 (Pico da Envoltória)</t>
        </is>
      </c>
    </row>
    <row r="15">
      <c r="B15" s="6" t="inlineStr">
        <is>
          <t>Ponto de Equilíbrio do Caixa (Break-even)</t>
        </is>
      </c>
      <c r="C15" s="6" t="n"/>
      <c r="D15" s="6" t="n"/>
      <c r="E15" s="16" t="inlineStr">
        <is>
          <t>Mês 7 (Liquidação do TRD)</t>
        </is>
      </c>
    </row>
    <row r="17">
      <c r="B17" s="3" t="inlineStr">
        <is>
          <t>Período</t>
        </is>
      </c>
      <c r="C17" s="3" t="inlineStr">
        <is>
          <t>Entradas (R$)</t>
        </is>
      </c>
      <c r="D17" s="3" t="inlineStr">
        <is>
          <t>Saídas (R$)</t>
        </is>
      </c>
      <c r="E17" s="3" t="inlineStr">
        <is>
          <t>Saldo Mês (R$)</t>
        </is>
      </c>
      <c r="F17" s="3" t="inlineStr">
        <is>
          <t>Saldo Acumulado (R$)</t>
        </is>
      </c>
    </row>
    <row r="18">
      <c r="B18" s="17" t="inlineStr">
        <is>
          <t>Mês 1</t>
        </is>
      </c>
      <c r="C18" s="5" t="n">
        <v>0</v>
      </c>
      <c r="D18" s="5" t="n">
        <v>105467.76</v>
      </c>
      <c r="E18" s="5" t="n">
        <v>-105467.76</v>
      </c>
      <c r="F18" s="18" t="n">
        <v>-105467.76</v>
      </c>
    </row>
    <row r="19">
      <c r="B19" s="19" t="inlineStr">
        <is>
          <t>Mês 2</t>
        </is>
      </c>
      <c r="C19" s="7" t="n">
        <v>155269.92</v>
      </c>
      <c r="D19" s="7" t="n">
        <v>202190.46</v>
      </c>
      <c r="E19" s="7" t="n">
        <v>-46920.54</v>
      </c>
      <c r="F19" s="20" t="n">
        <v>-152388.3</v>
      </c>
    </row>
    <row r="20">
      <c r="B20" s="17" t="inlineStr">
        <is>
          <t>Mês 3</t>
        </is>
      </c>
      <c r="C20" s="5" t="n">
        <v>264001.06</v>
      </c>
      <c r="D20" s="5" t="n">
        <v>285050.67</v>
      </c>
      <c r="E20" s="5" t="n">
        <v>-21049.61</v>
      </c>
      <c r="F20" s="18" t="n">
        <v>-173437.91</v>
      </c>
    </row>
    <row r="21">
      <c r="B21" s="19" t="inlineStr">
        <is>
          <t>Mês 4</t>
        </is>
      </c>
      <c r="C21" s="7" t="n">
        <v>329961.79</v>
      </c>
      <c r="D21" s="7" t="n">
        <v>283390.75</v>
      </c>
      <c r="E21" s="7" t="n">
        <v>46571.04</v>
      </c>
      <c r="F21" s="20" t="n">
        <v>-126866.87</v>
      </c>
    </row>
    <row r="22">
      <c r="B22" s="17" t="inlineStr">
        <is>
          <t>Mês 5</t>
        </is>
      </c>
      <c r="C22" s="5" t="n">
        <v>239197.61</v>
      </c>
      <c r="D22" s="5" t="n">
        <v>267817.95</v>
      </c>
      <c r="E22" s="5" t="n">
        <v>-28620.34</v>
      </c>
      <c r="F22" s="18" t="n">
        <v>-155487.21</v>
      </c>
    </row>
    <row r="23">
      <c r="B23" s="19" t="inlineStr">
        <is>
          <t>Mês 6</t>
        </is>
      </c>
      <c r="C23" s="7" t="n">
        <v>316688.44</v>
      </c>
      <c r="D23" s="7" t="n">
        <v>294364.71</v>
      </c>
      <c r="E23" s="7" t="n">
        <v>22323.73</v>
      </c>
      <c r="F23" s="20" t="n">
        <v>-133163.48</v>
      </c>
    </row>
    <row r="24">
      <c r="B24" s="17" t="inlineStr">
        <is>
          <t>Mês 7</t>
        </is>
      </c>
      <c r="C24" s="5" t="n">
        <v>355643.46</v>
      </c>
      <c r="D24" s="5" t="n">
        <v>118585.53</v>
      </c>
      <c r="E24" s="5" t="n">
        <v>237057.93</v>
      </c>
      <c r="F24" s="21" t="n">
        <v>103894.45</v>
      </c>
    </row>
    <row r="25">
      <c r="B25" s="22" t="inlineStr">
        <is>
          <t>TOTAL GERAL</t>
        </is>
      </c>
      <c r="C25" s="23" t="n">
        <v>1660762.28</v>
      </c>
      <c r="D25" s="23" t="n">
        <v>1556867.83</v>
      </c>
      <c r="E25" s="23" t="n">
        <v>103894.45</v>
      </c>
      <c r="F25" s="23" t="n">
        <v>103894.45</v>
      </c>
    </row>
  </sheetData>
  <mergeCells count="13">
    <mergeCell ref="B10:D10"/>
    <mergeCell ref="B11:D11"/>
    <mergeCell ref="B14:D14"/>
    <mergeCell ref="B15:D15"/>
    <mergeCell ref="B2:I2"/>
    <mergeCell ref="B8:D8"/>
    <mergeCell ref="B9:D9"/>
    <mergeCell ref="B3:I3"/>
    <mergeCell ref="B13:D13"/>
    <mergeCell ref="B5:E5"/>
    <mergeCell ref="B12:D12"/>
    <mergeCell ref="B7:D7"/>
    <mergeCell ref="B6:D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FLUXO DE CAIXA ANALÍTICO MENSAL — ENTRADAS, DESEMBOLSOS E BALANÇO (R$)</t>
        </is>
      </c>
    </row>
    <row r="2" ht="24" customHeight="1">
      <c r="A2" s="3" t="inlineStr">
        <is>
          <t>Conta / Rubrica Operacional</t>
        </is>
      </c>
      <c r="B2" s="3" t="inlineStr">
        <is>
          <t>Natureza Contábil</t>
        </is>
      </c>
      <c r="C2" s="3" t="inlineStr">
        <is>
          <t>Mês 1</t>
        </is>
      </c>
      <c r="D2" s="3" t="inlineStr">
        <is>
          <t>Mês 2</t>
        </is>
      </c>
      <c r="E2" s="3" t="inlineStr">
        <is>
          <t>Mês 3</t>
        </is>
      </c>
      <c r="F2" s="3" t="inlineStr">
        <is>
          <t>Mês 4</t>
        </is>
      </c>
      <c r="G2" s="3" t="inlineStr">
        <is>
          <t>Mês 5</t>
        </is>
      </c>
      <c r="H2" s="3" t="inlineStr">
        <is>
          <t>Mês 6</t>
        </is>
      </c>
      <c r="I2" s="3" t="inlineStr">
        <is>
          <t>Mês 7</t>
        </is>
      </c>
      <c r="J2" s="3" t="inlineStr">
        <is>
          <t>Total Global (R$)</t>
        </is>
      </c>
    </row>
    <row r="3">
      <c r="A3" s="24" t="inlineStr">
        <is>
          <t>1. ENTRADAS DE CAIXA (RECEBIMENTOS DE MEDIÇÕES)</t>
        </is>
      </c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</row>
    <row r="4">
      <c r="A4" s="6" t="inlineStr">
        <is>
          <t>1.1 Faturamento Bruto de Medições</t>
        </is>
      </c>
      <c r="B4" s="19" t="inlineStr">
        <is>
          <t>Receita Bruta</t>
        </is>
      </c>
      <c r="C4" s="7" t="n">
        <v>163442.02</v>
      </c>
      <c r="D4" s="7" t="n">
        <v>277895.85</v>
      </c>
      <c r="E4" s="7" t="n">
        <v>347328.2</v>
      </c>
      <c r="F4" s="7" t="n">
        <v>251786.96</v>
      </c>
      <c r="G4" s="7" t="n">
        <v>333356.25</v>
      </c>
      <c r="H4" s="7" t="n">
        <v>286953</v>
      </c>
      <c r="I4" s="7" t="n">
        <v>0</v>
      </c>
      <c r="J4" s="25" t="n">
        <v>1660762.28</v>
      </c>
    </row>
    <row r="5">
      <c r="A5" s="4" t="inlineStr">
        <is>
          <t>1.2 Retenção Técnica Contratual (5%)</t>
        </is>
      </c>
      <c r="B5" s="17" t="inlineStr">
        <is>
          <t>Dedução</t>
        </is>
      </c>
      <c r="C5" s="5" t="n">
        <v>8172.1</v>
      </c>
      <c r="D5" s="5" t="n">
        <v>13894.79</v>
      </c>
      <c r="E5" s="5" t="n">
        <v>17366.41</v>
      </c>
      <c r="F5" s="5" t="n">
        <v>12589.35</v>
      </c>
      <c r="G5" s="5" t="n">
        <v>16667.81</v>
      </c>
      <c r="H5" s="5" t="n">
        <v>14347.65</v>
      </c>
      <c r="I5" s="5" t="n">
        <v>0</v>
      </c>
      <c r="J5" s="26" t="n">
        <v>83038.11</v>
      </c>
    </row>
    <row r="6">
      <c r="A6" s="6" t="inlineStr">
        <is>
          <t>1.3 Faturamento Líquido de Medições</t>
        </is>
      </c>
      <c r="B6" s="19" t="inlineStr">
        <is>
          <t>Receita Líquida</t>
        </is>
      </c>
      <c r="C6" s="7" t="n">
        <v>155269.92</v>
      </c>
      <c r="D6" s="7" t="n">
        <v>264001.06</v>
      </c>
      <c r="E6" s="7" t="n">
        <v>329961.79</v>
      </c>
      <c r="F6" s="7" t="n">
        <v>239197.61</v>
      </c>
      <c r="G6" s="7" t="n">
        <v>316688.44</v>
      </c>
      <c r="H6" s="7" t="n">
        <v>272605.35</v>
      </c>
      <c r="I6" s="7" t="n">
        <v>0</v>
      </c>
      <c r="J6" s="25" t="n">
        <v>1577724.17</v>
      </c>
    </row>
    <row r="7">
      <c r="A7" s="4" t="inlineStr">
        <is>
          <t>1.4 Recebimento Efetivo de Medições (D+15)</t>
        </is>
      </c>
      <c r="B7" s="17" t="inlineStr">
        <is>
          <t>Inflow</t>
        </is>
      </c>
      <c r="C7" s="5" t="n">
        <v>0</v>
      </c>
      <c r="D7" s="5" t="n">
        <v>155269.92</v>
      </c>
      <c r="E7" s="5" t="n">
        <v>264001.06</v>
      </c>
      <c r="F7" s="5" t="n">
        <v>329961.79</v>
      </c>
      <c r="G7" s="5" t="n">
        <v>239197.61</v>
      </c>
      <c r="H7" s="5" t="n">
        <v>316688.44</v>
      </c>
      <c r="I7" s="5" t="n">
        <v>272605.35</v>
      </c>
      <c r="J7" s="26" t="n">
        <v>1577724.17</v>
      </c>
    </row>
    <row r="8">
      <c r="A8" s="6" t="inlineStr">
        <is>
          <t>1.5 Devolução da Retenção Técnica (TRD M7)</t>
        </is>
      </c>
      <c r="B8" s="19" t="inlineStr">
        <is>
          <t>Inflow</t>
        </is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83038.11</v>
      </c>
      <c r="J8" s="25" t="n">
        <v>83038.11</v>
      </c>
    </row>
    <row r="9">
      <c r="A9" s="8" t="inlineStr">
        <is>
          <t>TOTAL DE ENTRADAS DE CAIXA (A)</t>
        </is>
      </c>
      <c r="B9" s="27" t="inlineStr">
        <is>
          <t>Total Inflows</t>
        </is>
      </c>
      <c r="C9" s="28" t="n">
        <v>0</v>
      </c>
      <c r="D9" s="28" t="n">
        <v>155269.92</v>
      </c>
      <c r="E9" s="28" t="n">
        <v>264001.06</v>
      </c>
      <c r="F9" s="28" t="n">
        <v>329961.79</v>
      </c>
      <c r="G9" s="28" t="n">
        <v>239197.61</v>
      </c>
      <c r="H9" s="28" t="n">
        <v>316688.44</v>
      </c>
      <c r="I9" s="28" t="n">
        <v>355643.46</v>
      </c>
      <c r="J9" s="28" t="n">
        <v>1660762.28</v>
      </c>
    </row>
    <row r="10">
      <c r="A10" s="24" t="inlineStr">
        <is>
          <t>2. SAÍDAS DE CAIXA (DESEMBOLSOS DE PRODUÇÃO E GESTÃO)</t>
        </is>
      </c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</row>
    <row r="11">
      <c r="A11" s="4" t="inlineStr">
        <is>
          <t>2.1 Equipe Técnica de Gestão (Eng/Mestre/TST)</t>
        </is>
      </c>
      <c r="B11" s="17" t="inlineStr">
        <is>
          <t>MO Gestão</t>
        </is>
      </c>
      <c r="C11" s="5" t="n">
        <v>29300</v>
      </c>
      <c r="D11" s="5" t="n">
        <v>29300</v>
      </c>
      <c r="E11" s="5" t="n">
        <v>29300</v>
      </c>
      <c r="F11" s="5" t="n">
        <v>29300</v>
      </c>
      <c r="G11" s="5" t="n">
        <v>29300</v>
      </c>
      <c r="H11" s="5" t="n">
        <v>29300</v>
      </c>
      <c r="I11" s="5" t="n">
        <v>0</v>
      </c>
      <c r="J11" s="26" t="n">
        <v>175800</v>
      </c>
    </row>
    <row r="12">
      <c r="A12" s="6" t="inlineStr">
        <is>
          <t>2.2 Vivência, Alimentação (16 op.) e Transporte</t>
        </is>
      </c>
      <c r="B12" s="19" t="inlineStr">
        <is>
          <t>Vivência</t>
        </is>
      </c>
      <c r="C12" s="7" t="n">
        <v>23009.33</v>
      </c>
      <c r="D12" s="7" t="n">
        <v>23009.33</v>
      </c>
      <c r="E12" s="7" t="n">
        <v>23009.33</v>
      </c>
      <c r="F12" s="7" t="n">
        <v>23009.33</v>
      </c>
      <c r="G12" s="7" t="n">
        <v>23009.33</v>
      </c>
      <c r="H12" s="7" t="n">
        <v>23009.33</v>
      </c>
      <c r="I12" s="7" t="n">
        <v>0</v>
      </c>
      <c r="J12" s="25" t="n">
        <v>138055.98</v>
      </c>
    </row>
    <row r="13">
      <c r="A13" s="4" t="inlineStr">
        <is>
          <t>2.3 Mão de Obra de Campo (Serviços Físicos)</t>
        </is>
      </c>
      <c r="B13" s="17" t="inlineStr">
        <is>
          <t>MO Campo</t>
        </is>
      </c>
      <c r="C13" s="5" t="n">
        <v>23588.7</v>
      </c>
      <c r="D13" s="5" t="n">
        <v>55068.46</v>
      </c>
      <c r="E13" s="5" t="n">
        <v>74165.36</v>
      </c>
      <c r="F13" s="5" t="n">
        <v>47887.38</v>
      </c>
      <c r="G13" s="5" t="n">
        <v>71026.09</v>
      </c>
      <c r="H13" s="5" t="n">
        <v>60171.35</v>
      </c>
      <c r="I13" s="5" t="n">
        <v>0</v>
      </c>
      <c r="J13" s="26" t="n">
        <v>331907.34</v>
      </c>
    </row>
    <row r="14">
      <c r="A14" s="6" t="inlineStr">
        <is>
          <t>2.4 Materiais e Insumos Civis (Sinal à Vista)</t>
        </is>
      </c>
      <c r="B14" s="19" t="inlineStr">
        <is>
          <t>Material</t>
        </is>
      </c>
      <c r="C14" s="7" t="n">
        <v>8761.52</v>
      </c>
      <c r="D14" s="7" t="n">
        <v>20454</v>
      </c>
      <c r="E14" s="7" t="n">
        <v>27547.13</v>
      </c>
      <c r="F14" s="7" t="n">
        <v>17786.74</v>
      </c>
      <c r="G14" s="7" t="n">
        <v>26381.12</v>
      </c>
      <c r="H14" s="7" t="n">
        <v>22349.36</v>
      </c>
      <c r="I14" s="7" t="n">
        <v>0</v>
      </c>
      <c r="J14" s="25" t="n">
        <v>123279.87</v>
      </c>
    </row>
    <row r="15">
      <c r="A15" s="4" t="inlineStr">
        <is>
          <t>2.5 Materiais e Insumos Civis (Prazo D+30)</t>
        </is>
      </c>
      <c r="B15" s="17" t="inlineStr">
        <is>
          <t>Material</t>
        </is>
      </c>
      <c r="C15" s="5" t="n">
        <v>0</v>
      </c>
      <c r="D15" s="5" t="n">
        <v>35046.07</v>
      </c>
      <c r="E15" s="5" t="n">
        <v>81815.99000000001</v>
      </c>
      <c r="F15" s="5" t="n">
        <v>110188.54</v>
      </c>
      <c r="G15" s="5" t="n">
        <v>71146.97</v>
      </c>
      <c r="H15" s="5" t="n">
        <v>105524.48</v>
      </c>
      <c r="I15" s="5" t="n">
        <v>89397.44</v>
      </c>
      <c r="J15" s="26" t="n">
        <v>493119.49</v>
      </c>
    </row>
    <row r="16">
      <c r="A16" s="6" t="inlineStr">
        <is>
          <t>2.6 Locação de Containers NR-18 e Sanitários</t>
        </is>
      </c>
      <c r="B16" s="19" t="inlineStr">
        <is>
          <t>Equipamento</t>
        </is>
      </c>
      <c r="C16" s="7" t="n">
        <v>3191.66</v>
      </c>
      <c r="D16" s="7" t="n">
        <v>6383.32</v>
      </c>
      <c r="E16" s="7" t="n">
        <v>6383.32</v>
      </c>
      <c r="F16" s="7" t="n">
        <v>6383.32</v>
      </c>
      <c r="G16" s="7" t="n">
        <v>6383.32</v>
      </c>
      <c r="H16" s="7" t="n">
        <v>6383.32</v>
      </c>
      <c r="I16" s="7" t="n">
        <v>3191.66</v>
      </c>
      <c r="J16" s="25" t="n">
        <v>38299.92</v>
      </c>
    </row>
    <row r="17">
      <c r="A17" s="4" t="inlineStr">
        <is>
          <t>2.7 Contas de Consumo (Água, Luz, Internet)</t>
        </is>
      </c>
      <c r="B17" s="17" t="inlineStr">
        <is>
          <t>Canteiro</t>
        </is>
      </c>
      <c r="C17" s="5" t="n">
        <v>1175</v>
      </c>
      <c r="D17" s="5" t="n">
        <v>2350</v>
      </c>
      <c r="E17" s="5" t="n">
        <v>2350</v>
      </c>
      <c r="F17" s="5" t="n">
        <v>2350</v>
      </c>
      <c r="G17" s="5" t="n">
        <v>2350</v>
      </c>
      <c r="H17" s="5" t="n">
        <v>2350</v>
      </c>
      <c r="I17" s="5" t="n">
        <v>1175</v>
      </c>
      <c r="J17" s="26" t="n">
        <v>14100</v>
      </c>
    </row>
    <row r="18">
      <c r="A18" s="6" t="inlineStr">
        <is>
          <t>2.8 Tributos sobre Faturamento (8,65% NF)</t>
        </is>
      </c>
      <c r="B18" s="19" t="inlineStr">
        <is>
          <t>Tributos</t>
        </is>
      </c>
      <c r="C18" s="7" t="n">
        <v>0</v>
      </c>
      <c r="D18" s="7" t="n">
        <v>14137.73</v>
      </c>
      <c r="E18" s="7" t="n">
        <v>24037.99</v>
      </c>
      <c r="F18" s="7" t="n">
        <v>30043.89</v>
      </c>
      <c r="G18" s="7" t="n">
        <v>21779.57</v>
      </c>
      <c r="H18" s="7" t="n">
        <v>28835.32</v>
      </c>
      <c r="I18" s="7" t="n">
        <v>24821.43</v>
      </c>
      <c r="J18" s="25" t="n">
        <v>143655.93</v>
      </c>
    </row>
    <row r="19">
      <c r="A19" s="4" t="inlineStr">
        <is>
          <t>2.9 Custos Indiretos Centrais BDI (AC/Seguros)</t>
        </is>
      </c>
      <c r="B19" s="17" t="inlineStr">
        <is>
          <t>Indireto</t>
        </is>
      </c>
      <c r="C19" s="5" t="n">
        <v>16441.55</v>
      </c>
      <c r="D19" s="5" t="n">
        <v>16441.55</v>
      </c>
      <c r="E19" s="5" t="n">
        <v>16441.55</v>
      </c>
      <c r="F19" s="5" t="n">
        <v>16441.55</v>
      </c>
      <c r="G19" s="5" t="n">
        <v>16441.55</v>
      </c>
      <c r="H19" s="5" t="n">
        <v>16441.55</v>
      </c>
      <c r="I19" s="5" t="n">
        <v>0</v>
      </c>
      <c r="J19" s="26" t="n">
        <v>98649.3</v>
      </c>
    </row>
    <row r="20">
      <c r="A20" s="29" t="inlineStr">
        <is>
          <t>TOTAL DE SAÍDAS DE CAIXA (B)</t>
        </is>
      </c>
      <c r="B20" s="30" t="inlineStr">
        <is>
          <t>Total Outflows</t>
        </is>
      </c>
      <c r="C20" s="25" t="n">
        <v>105467.76</v>
      </c>
      <c r="D20" s="25" t="n">
        <v>202190.46</v>
      </c>
      <c r="E20" s="25" t="n">
        <v>285050.67</v>
      </c>
      <c r="F20" s="25" t="n">
        <v>283390.75</v>
      </c>
      <c r="G20" s="25" t="n">
        <v>267817.95</v>
      </c>
      <c r="H20" s="25" t="n">
        <v>294364.71</v>
      </c>
      <c r="I20" s="25" t="n">
        <v>118585.53</v>
      </c>
      <c r="J20" s="25" t="n">
        <v>1556867.83</v>
      </c>
    </row>
    <row r="21">
      <c r="A21" s="24" t="inlineStr">
        <is>
          <t>3. RESULTADO OPERACIONAL E SALDOS DE CAIXA</t>
        </is>
      </c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</row>
    <row r="22">
      <c r="A22" s="29" t="inlineStr">
        <is>
          <t>3.1 Saldo Operacional Líquido do Período (A - B)</t>
        </is>
      </c>
      <c r="B22" s="30" t="inlineStr">
        <is>
          <t>Resultado Líquido</t>
        </is>
      </c>
      <c r="C22" s="25" t="n">
        <v>-105467.76</v>
      </c>
      <c r="D22" s="25" t="n">
        <v>-46920.54</v>
      </c>
      <c r="E22" s="25" t="n">
        <v>-21049.61</v>
      </c>
      <c r="F22" s="25" t="n">
        <v>46571.04</v>
      </c>
      <c r="G22" s="25" t="n">
        <v>-28620.34</v>
      </c>
      <c r="H22" s="25" t="n">
        <v>22323.73</v>
      </c>
      <c r="I22" s="25" t="n">
        <v>237057.93</v>
      </c>
      <c r="J22" s="25" t="n">
        <v>103894.45</v>
      </c>
    </row>
    <row r="23">
      <c r="A23" s="31" t="inlineStr">
        <is>
          <t>3.2 Saldo de Caixa Acumulado (Cenário Realista)</t>
        </is>
      </c>
      <c r="B23" s="32" t="inlineStr">
        <is>
          <t>Acumulado</t>
        </is>
      </c>
      <c r="C23" s="33" t="n">
        <v>-105467.76</v>
      </c>
      <c r="D23" s="33" t="n">
        <v>-152388.3</v>
      </c>
      <c r="E23" s="33" t="n">
        <v>-173437.91</v>
      </c>
      <c r="F23" s="33" t="n">
        <v>-126866.87</v>
      </c>
      <c r="G23" s="33" t="n">
        <v>-155487.21</v>
      </c>
      <c r="H23" s="33" t="n">
        <v>-133163.48</v>
      </c>
      <c r="I23" s="34" t="n">
        <v>103894.45</v>
      </c>
      <c r="J23" s="35" t="n">
        <v>103894.45</v>
      </c>
    </row>
  </sheetData>
  <mergeCells count="4">
    <mergeCell ref="A1:J1"/>
    <mergeCell ref="A21:J21"/>
    <mergeCell ref="A3:J3"/>
    <mergeCell ref="A10:J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1" t="inlineStr">
        <is>
          <t>ANÁLISE DE SENSIBILIDADE FINANCEIRA — SIMULAÇÃO EM 3 CENÁRIOS</t>
        </is>
      </c>
    </row>
    <row r="2">
      <c r="A2" s="3" t="inlineStr">
        <is>
          <t>Cenário de Análise</t>
        </is>
      </c>
      <c r="B2" s="3" t="inlineStr">
        <is>
          <t>Premissas Chave de Fluxo</t>
        </is>
      </c>
      <c r="C2" s="3" t="inlineStr">
        <is>
          <t>M1</t>
        </is>
      </c>
      <c r="D2" s="3" t="inlineStr">
        <is>
          <t>M2</t>
        </is>
      </c>
      <c r="E2" s="3" t="inlineStr">
        <is>
          <t>M3</t>
        </is>
      </c>
      <c r="F2" s="3" t="inlineStr">
        <is>
          <t>M4</t>
        </is>
      </c>
      <c r="G2" s="3" t="inlineStr">
        <is>
          <t>M5</t>
        </is>
      </c>
      <c r="H2" s="3" t="inlineStr">
        <is>
          <t>M6</t>
        </is>
      </c>
      <c r="I2" s="3" t="inlineStr">
        <is>
          <t>M7</t>
        </is>
      </c>
      <c r="J2" s="3" t="inlineStr">
        <is>
          <t>M8</t>
        </is>
      </c>
      <c r="K2" s="3" t="inlineStr">
        <is>
          <t>Pico Negativo (R$)</t>
        </is>
      </c>
      <c r="L2" s="3" t="inlineStr">
        <is>
          <t>Saldo Final (R$)</t>
        </is>
      </c>
    </row>
    <row r="3">
      <c r="A3" s="36" t="inlineStr">
        <is>
          <t>Cenário 1: Realista (Base)</t>
        </is>
      </c>
      <c r="B3" s="4" t="inlineStr">
        <is>
          <t>Medições pagas em D+15; Retenção 5% devolvida em M7; Fornecedores 20/80 D0/D+30</t>
        </is>
      </c>
      <c r="C3" s="18" t="n">
        <v>-105467.76</v>
      </c>
      <c r="D3" s="18" t="n">
        <v>-152388.3</v>
      </c>
      <c r="E3" s="18" t="n">
        <v>-173437.91</v>
      </c>
      <c r="F3" s="18" t="n">
        <v>-126866.87</v>
      </c>
      <c r="G3" s="18" t="n">
        <v>-155487.21</v>
      </c>
      <c r="H3" s="18" t="n">
        <v>-133163.48</v>
      </c>
      <c r="I3" s="21" t="n">
        <v>103894.45</v>
      </c>
      <c r="J3" s="37" t="inlineStr">
        <is>
          <t>-</t>
        </is>
      </c>
      <c r="K3" s="18" t="n">
        <v>-173437.91</v>
      </c>
      <c r="L3" s="26" t="n">
        <v>103894.45</v>
      </c>
    </row>
    <row r="4">
      <c r="A4" s="29" t="inlineStr">
        <is>
          <t>Cenário 2: Otimista (Adiantamento)</t>
        </is>
      </c>
      <c r="B4" s="6" t="inlineStr">
        <is>
          <t>Adiantamento Contratual de 10% amortizado em 4x nas medições</t>
        </is>
      </c>
      <c r="C4" s="38" t="n">
        <v>60608.47</v>
      </c>
      <c r="D4" s="20" t="n">
        <v>-27831.13</v>
      </c>
      <c r="E4" s="20" t="n">
        <v>-90399.8</v>
      </c>
      <c r="F4" s="20" t="n">
        <v>-85347.82000000001</v>
      </c>
      <c r="G4" s="20" t="n">
        <v>-155487.22</v>
      </c>
      <c r="H4" s="20" t="n">
        <v>-133163.49</v>
      </c>
      <c r="I4" s="38" t="n">
        <v>103894.44</v>
      </c>
      <c r="J4" s="39" t="inlineStr">
        <is>
          <t>-</t>
        </is>
      </c>
      <c r="K4" s="20" t="n">
        <v>-155487.22</v>
      </c>
      <c r="L4" s="25" t="n">
        <v>103894.44</v>
      </c>
    </row>
    <row r="5">
      <c r="A5" s="36" t="inlineStr">
        <is>
          <t>Cenário 3: Estresse (Atraso 30d)</t>
        </is>
      </c>
      <c r="B5" s="4" t="inlineStr">
        <is>
          <t>Contratante atrasa liberação de medições em 30 dias (D+45); fornecedores pagos pontualmente</t>
        </is>
      </c>
      <c r="C5" s="18" t="n">
        <v>-105467.76</v>
      </c>
      <c r="D5" s="18" t="n">
        <v>-307658.22</v>
      </c>
      <c r="E5" s="18" t="n">
        <v>-437438.97</v>
      </c>
      <c r="F5" s="18" t="n">
        <v>-456828.66</v>
      </c>
      <c r="G5" s="18" t="n">
        <v>-394684.82</v>
      </c>
      <c r="H5" s="18" t="n">
        <v>-449851.92</v>
      </c>
      <c r="I5" s="18" t="n">
        <v>-251749.01</v>
      </c>
      <c r="J5" s="21" t="n">
        <v>103894.45</v>
      </c>
      <c r="K5" s="18" t="n">
        <v>-456828.66</v>
      </c>
      <c r="L5" s="26" t="n">
        <v>103894.45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2026-09-14T14:18:03Z</dcterms:created>
  <dcterms:modified xsi:type="dcterms:W3CDTF">2026-09-14T14:18:03Z</dcterms:modified>
</cp:coreProperties>
</file>