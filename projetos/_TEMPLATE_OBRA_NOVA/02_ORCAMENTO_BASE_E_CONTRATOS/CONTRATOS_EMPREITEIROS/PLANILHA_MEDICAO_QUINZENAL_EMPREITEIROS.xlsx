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-01 Estrutura" sheetId="1" state="visible" r:id="rId1"/>
    <sheet name="SUB-02 Alvenaria" sheetId="2" state="visible" r:id="rId2"/>
    <sheet name="SUB-03 Cobertura" sheetId="3" state="visible" r:id="rId3"/>
    <sheet name="SUB-04 Pisos" sheetId="4" state="visible" r:id="rId4"/>
    <sheet name="SUB-05 Eletrica" sheetId="5" state="visible" r:id="rId5"/>
    <sheet name="SUB-06 Hidraulica" sheetId="6" state="visible" r:id="rId6"/>
    <sheet name="SUB-07 Climatizacao" sheetId="7" state="visible" r:id="rId7"/>
    <sheet name="SUB-08 Pintur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365D"/>
      <sz val="11"/>
    </font>
    <font>
      <name val="Calibri"/>
      <b val="1"/>
      <color rgb="00D99B26"/>
      <sz val="11"/>
    </font>
    <font>
      <name val="Calibri"/>
      <b val="1"/>
      <color rgb="00137333"/>
      <sz val="11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84B78"/>
        <bgColor rgb="00284B78"/>
      </patternFill>
    </fill>
    <fill>
      <patternFill patternType="solid">
        <fgColor rgb="00137333"/>
        <bgColor rgb="00137333"/>
      </patternFill>
    </fill>
    <fill>
      <patternFill patternType="solid">
        <fgColor rgb="00FEF7E0"/>
        <bgColor rgb="00FEF7E0"/>
      </patternFill>
    </fill>
    <fill>
      <patternFill patternType="solid">
        <fgColor rgb="00F4F6F9"/>
        <bgColor rgb="00F4F6F9"/>
      </patternFill>
    </fill>
    <fill>
      <patternFill patternType="solid">
        <fgColor rgb="00E8EEF5"/>
        <bgColor rgb="00E8EEF5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double">
        <color rgb="001B365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4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4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right" vertical="center"/>
    </xf>
    <xf numFmtId="164" fontId="5" fillId="7" borderId="2" applyAlignment="1" pivotButton="0" quotePrefix="0" xfId="0">
      <alignment horizontal="right" vertical="center"/>
    </xf>
    <xf numFmtId="10" fontId="5" fillId="7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0" fillId="0" borderId="1" pivotButton="0" quotePrefix="0" xfId="0"/>
    <xf numFmtId="164" fontId="6" fillId="0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16" customWidth="1" min="20" max="20"/>
    <col width="14" customWidth="1" min="21" max="21"/>
  </cols>
  <sheetData>
    <row r="1" ht="28" customHeight="1">
      <c r="A1" s="1" t="inlineStr">
        <is>
          <t>OBRA_NOVA — BOLETIM EVOLUTIVO DE MEDIÇÃO QUINZENAL: SUB-01 (EMPREITADA DE FUNDAÇÕES E ESTRUTURA DE CONCRETO ARMADO)</t>
        </is>
      </c>
    </row>
    <row r="2" ht="20" customHeight="1">
      <c r="A2" s="2" t="inlineStr">
        <is>
          <t>Empreiteiro: Empreiteira de Estruturas Homologada Ltda | Centro de Custo: CC-200 / CC-300 | Vigência: Semanas S01 a S09 (60 dias corridos) | Retenção Técnica: 5,0% | Governança: POP 09 e POP 17</t>
        </is>
      </c>
    </row>
    <row r="4" ht="18" customHeight="1">
      <c r="A4" s="3" t="inlineStr">
        <is>
          <t>Código
EAP</t>
        </is>
      </c>
      <c r="B4" s="3" t="inlineStr">
        <is>
          <t>Descrição Pormenorizada do Serviço Contratado</t>
        </is>
      </c>
      <c r="C4" s="3" t="inlineStr">
        <is>
          <t>Unid</t>
        </is>
      </c>
      <c r="D4" s="3" t="inlineStr">
        <is>
          <t>Quantidade
Contratada</t>
        </is>
      </c>
      <c r="E4" s="3" t="inlineStr">
        <is>
          <t>Preço Unitário
(R$)</t>
        </is>
      </c>
      <c r="F4" s="3" t="inlineStr">
        <is>
          <t>Total Contrato
(R$)</t>
        </is>
      </c>
      <c r="G4" s="3" t="inlineStr">
        <is>
          <t>AVANÇO FÍSICO QUINZENAL DE PRODUÇÃO (12 MEDIÇÕES CONTRATUAIS - QTD MEDIDA)</t>
        </is>
      </c>
      <c r="S4" s="4" t="inlineStr">
        <is>
          <t>SALDOS E FECHAMENTO ACUMULADO</t>
        </is>
      </c>
    </row>
    <row r="5" ht="24" customHeight="1">
      <c r="G5" s="3" t="inlineStr">
        <is>
          <t>Medição 1
(Qtd)</t>
        </is>
      </c>
      <c r="H5" s="3" t="inlineStr">
        <is>
          <t>Medição 2
(Qtd)</t>
        </is>
      </c>
      <c r="I5" s="3" t="inlineStr">
        <is>
          <t>Medição 3
(Qtd)</t>
        </is>
      </c>
      <c r="J5" s="3" t="inlineStr">
        <is>
          <t>Medição 4
(Qtd)</t>
        </is>
      </c>
      <c r="K5" s="3" t="inlineStr">
        <is>
          <t>Medição 5
(Qtd)</t>
        </is>
      </c>
      <c r="L5" s="3" t="inlineStr">
        <is>
          <t>Medição 6
(Qtd)</t>
        </is>
      </c>
      <c r="M5" s="3" t="inlineStr">
        <is>
          <t>Medição 7
(Qtd)</t>
        </is>
      </c>
      <c r="N5" s="3" t="inlineStr">
        <is>
          <t>Medição 8
(Qtd)</t>
        </is>
      </c>
      <c r="O5" s="3" t="inlineStr">
        <is>
          <t>Medição 9
(Qtd)</t>
        </is>
      </c>
      <c r="P5" s="3" t="inlineStr">
        <is>
          <t>Medição 10
(Qtd)</t>
        </is>
      </c>
      <c r="Q5" s="3" t="inlineStr">
        <is>
          <t>Medição 11
(Qtd)</t>
        </is>
      </c>
      <c r="R5" s="3" t="inlineStr">
        <is>
          <t>Medição 12
(Qtd)</t>
        </is>
      </c>
      <c r="S5" s="4" t="inlineStr">
        <is>
          <t>Total Medido
Acumulado</t>
        </is>
      </c>
      <c r="T5" s="4" t="inlineStr">
        <is>
          <t>Saldo a Medir
(Quantidade)</t>
        </is>
      </c>
      <c r="U5" s="4" t="inlineStr">
        <is>
          <t>% Avanço
Físico</t>
        </is>
      </c>
    </row>
    <row r="6" ht="20" customHeight="1">
      <c r="A6" s="5" t="inlineStr">
        <is>
          <t>1.1.1</t>
        </is>
      </c>
      <c r="B6" s="6" t="inlineStr">
        <is>
          <t>Escavação manual e ajuste fino de fundo de cavas das sapatas</t>
        </is>
      </c>
      <c r="C6" s="5" t="inlineStr">
        <is>
          <t>m³</t>
        </is>
      </c>
      <c r="D6" s="7" t="n">
        <v>51.27</v>
      </c>
      <c r="E6" s="8" t="n">
        <v>14.28</v>
      </c>
      <c r="F6" s="9">
        <f>D6*E6</f>
        <v/>
      </c>
      <c r="G6" s="10" t="n">
        <v>51.27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11">
        <f>SUM(G6:R6)</f>
        <v/>
      </c>
      <c r="T6" s="7">
        <f>D6-S6</f>
        <v/>
      </c>
      <c r="U6" s="12">
        <f>S6/D6</f>
        <v/>
      </c>
    </row>
    <row r="7" ht="20" customHeight="1">
      <c r="A7" s="13" t="inlineStr">
        <is>
          <t>1.1.2</t>
        </is>
      </c>
      <c r="B7" s="14" t="inlineStr">
        <is>
          <t>Apiloamento e compactação do fundo de cavas e valas de fundação</t>
        </is>
      </c>
      <c r="C7" s="13" t="inlineStr">
        <is>
          <t>m²</t>
        </is>
      </c>
      <c r="D7" s="15" t="n">
        <v>60.74</v>
      </c>
      <c r="E7" s="16" t="n">
        <v>8.65</v>
      </c>
      <c r="F7" s="17">
        <f>D7*E7</f>
        <v/>
      </c>
      <c r="G7" s="10" t="n">
        <v>60.74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8">
        <f>SUM(G7:R7)</f>
        <v/>
      </c>
      <c r="T7" s="15">
        <f>D7-S7</f>
        <v/>
      </c>
      <c r="U7" s="19">
        <f>S7/D7</f>
        <v/>
      </c>
    </row>
    <row r="8" ht="20" customHeight="1">
      <c r="A8" s="5" t="inlineStr">
        <is>
          <t>1.1.5</t>
        </is>
      </c>
      <c r="B8" s="6" t="inlineStr">
        <is>
          <t>Montagem e desforma de painéis de fôrma compensado 17mm para 32 sapatas</t>
        </is>
      </c>
      <c r="C8" s="5" t="inlineStr">
        <is>
          <t>m²</t>
        </is>
      </c>
      <c r="D8" s="7" t="n">
        <v>35.88</v>
      </c>
      <c r="E8" s="8" t="n">
        <v>55</v>
      </c>
      <c r="F8" s="9">
        <f>D8*E8</f>
        <v/>
      </c>
      <c r="G8" s="10" t="n">
        <v>35.88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11">
        <f>SUM(G8:R8)</f>
        <v/>
      </c>
      <c r="T8" s="7">
        <f>D8-S8</f>
        <v/>
      </c>
      <c r="U8" s="12">
        <f>S8/D8</f>
        <v/>
      </c>
    </row>
    <row r="9" ht="20" customHeight="1">
      <c r="A9" s="13" t="inlineStr">
        <is>
          <t>1.1.7</t>
        </is>
      </c>
      <c r="B9" s="14" t="inlineStr">
        <is>
          <t>Montagem e desforma de fôrmas compensadas 17mm para arranques de pilares</t>
        </is>
      </c>
      <c r="C9" s="13" t="inlineStr">
        <is>
          <t>m²</t>
        </is>
      </c>
      <c r="D9" s="15" t="n">
        <v>25.76</v>
      </c>
      <c r="E9" s="16" t="n">
        <v>65</v>
      </c>
      <c r="F9" s="17">
        <f>D9*E9</f>
        <v/>
      </c>
      <c r="G9" s="10" t="n">
        <v>25.76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8">
        <f>SUM(G9:R9)</f>
        <v/>
      </c>
      <c r="T9" s="15">
        <f>D9-S9</f>
        <v/>
      </c>
      <c r="U9" s="19">
        <f>S9/D9</f>
        <v/>
      </c>
    </row>
    <row r="10" ht="20" customHeight="1">
      <c r="A10" s="5" t="inlineStr">
        <is>
          <t>1.1.9</t>
        </is>
      </c>
      <c r="B10" s="6" t="inlineStr">
        <is>
          <t>Montagem e desforma de fôrmas compensadas para vigas baldrames (140,44m)</t>
        </is>
      </c>
      <c r="C10" s="5" t="inlineStr">
        <is>
          <t>m²</t>
        </is>
      </c>
      <c r="D10" s="7" t="n">
        <v>112.35</v>
      </c>
      <c r="E10" s="8" t="n">
        <v>55</v>
      </c>
      <c r="F10" s="9">
        <f>D10*E10</f>
        <v/>
      </c>
      <c r="G10" s="10" t="n">
        <v>56.17</v>
      </c>
      <c r="H10" s="10" t="n">
        <v>56.18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11">
        <f>SUM(G10:R10)</f>
        <v/>
      </c>
      <c r="T10" s="7">
        <f>D10-S10</f>
        <v/>
      </c>
      <c r="U10" s="12">
        <f>S10/D10</f>
        <v/>
      </c>
    </row>
    <row r="11" ht="20" customHeight="1">
      <c r="A11" s="13" t="inlineStr">
        <is>
          <t>1.1.10</t>
        </is>
      </c>
      <c r="B11" s="14" t="inlineStr">
        <is>
          <t>Armação e amarração de aço CA-50 Ø8,0mm nas 32 sapatas isoladas</t>
        </is>
      </c>
      <c r="C11" s="13" t="inlineStr">
        <is>
          <t>kg</t>
        </is>
      </c>
      <c r="D11" s="15" t="n">
        <v>256</v>
      </c>
      <c r="E11" s="16" t="n">
        <v>4.5</v>
      </c>
      <c r="F11" s="17">
        <f>D11*E11</f>
        <v/>
      </c>
      <c r="G11" s="10" t="n">
        <v>256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5" t="n">
        <v>0</v>
      </c>
      <c r="P11" s="15" t="n">
        <v>0</v>
      </c>
      <c r="Q11" s="15" t="n">
        <v>0</v>
      </c>
      <c r="R11" s="15" t="n">
        <v>0</v>
      </c>
      <c r="S11" s="18">
        <f>SUM(G11:R11)</f>
        <v/>
      </c>
      <c r="T11" s="15">
        <f>D11-S11</f>
        <v/>
      </c>
      <c r="U11" s="19">
        <f>S11/D11</f>
        <v/>
      </c>
    </row>
    <row r="12" ht="20" customHeight="1">
      <c r="A12" s="5" t="inlineStr">
        <is>
          <t>1.1.11</t>
        </is>
      </c>
      <c r="B12" s="6" t="inlineStr">
        <is>
          <t>Armação e amarração de arranques dos pilares P1-P24 c/ gancho 30cm</t>
        </is>
      </c>
      <c r="C12" s="5" t="inlineStr">
        <is>
          <t>kg</t>
        </is>
      </c>
      <c r="D12" s="7" t="n">
        <v>145.7</v>
      </c>
      <c r="E12" s="8" t="n">
        <v>4.5</v>
      </c>
      <c r="F12" s="9">
        <f>D12*E12</f>
        <v/>
      </c>
      <c r="G12" s="10" t="n">
        <v>145.7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11">
        <f>SUM(G12:R12)</f>
        <v/>
      </c>
      <c r="T12" s="7">
        <f>D12-S12</f>
        <v/>
      </c>
      <c r="U12" s="12">
        <f>S12/D12</f>
        <v/>
      </c>
    </row>
    <row r="13" ht="20" customHeight="1">
      <c r="A13" s="13" t="inlineStr">
        <is>
          <t>1.1.12</t>
        </is>
      </c>
      <c r="B13" s="14" t="inlineStr">
        <is>
          <t>Armação e amarração de armaduras positivas/estribos vigas baldrames</t>
        </is>
      </c>
      <c r="C13" s="13" t="inlineStr">
        <is>
          <t>kg</t>
        </is>
      </c>
      <c r="D13" s="15" t="n">
        <v>1077.3</v>
      </c>
      <c r="E13" s="16" t="n">
        <v>4.5</v>
      </c>
      <c r="F13" s="17">
        <f>D13*E13</f>
        <v/>
      </c>
      <c r="G13" s="10" t="n">
        <v>538.65</v>
      </c>
      <c r="H13" s="10" t="n">
        <v>538.65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  <c r="Q13" s="15" t="n">
        <v>0</v>
      </c>
      <c r="R13" s="15" t="n">
        <v>0</v>
      </c>
      <c r="S13" s="18">
        <f>SUM(G13:R13)</f>
        <v/>
      </c>
      <c r="T13" s="15">
        <f>D13-S13</f>
        <v/>
      </c>
      <c r="U13" s="19">
        <f>S13/D13</f>
        <v/>
      </c>
    </row>
    <row r="14" ht="20" customHeight="1">
      <c r="A14" s="5" t="inlineStr">
        <is>
          <t>1.1.13</t>
        </is>
      </c>
      <c r="B14" s="6" t="inlineStr">
        <is>
          <t>Aplicação de emulsão asfáltica impermeabilizante em sapatas e baldrames</t>
        </is>
      </c>
      <c r="C14" s="5" t="inlineStr">
        <is>
          <t>m²</t>
        </is>
      </c>
      <c r="D14" s="7" t="n">
        <v>183.36</v>
      </c>
      <c r="E14" s="8" t="n">
        <v>18</v>
      </c>
      <c r="F14" s="9">
        <f>D14*E14</f>
        <v/>
      </c>
      <c r="G14" s="7" t="n">
        <v>0</v>
      </c>
      <c r="H14" s="10" t="n">
        <v>91.68000000000001</v>
      </c>
      <c r="I14" s="10" t="n">
        <v>91.68000000000001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11">
        <f>SUM(G14:R14)</f>
        <v/>
      </c>
      <c r="T14" s="7">
        <f>D14-S14</f>
        <v/>
      </c>
      <c r="U14" s="12">
        <f>S14/D14</f>
        <v/>
      </c>
    </row>
    <row r="15" ht="20" customHeight="1">
      <c r="A15" s="13" t="inlineStr">
        <is>
          <t>1.2.1</t>
        </is>
      </c>
      <c r="B15" s="14" t="inlineStr">
        <is>
          <t>Lançamento, adensamento vibrado e acabamento de concreto usinado pilares</t>
        </is>
      </c>
      <c r="C15" s="13" t="inlineStr">
        <is>
          <t>m³</t>
        </is>
      </c>
      <c r="D15" s="15" t="n">
        <v>6.44</v>
      </c>
      <c r="E15" s="16" t="n">
        <v>120</v>
      </c>
      <c r="F15" s="17">
        <f>D15*E15</f>
        <v/>
      </c>
      <c r="G15" s="15" t="n">
        <v>0</v>
      </c>
      <c r="H15" s="15" t="n">
        <v>0</v>
      </c>
      <c r="I15" s="10" t="n">
        <v>6.44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  <c r="Q15" s="15" t="n">
        <v>0</v>
      </c>
      <c r="R15" s="15" t="n">
        <v>0</v>
      </c>
      <c r="S15" s="18">
        <f>SUM(G15:R15)</f>
        <v/>
      </c>
      <c r="T15" s="15">
        <f>D15-S15</f>
        <v/>
      </c>
      <c r="U15" s="19">
        <f>S15/D15</f>
        <v/>
      </c>
    </row>
    <row r="16" ht="20" customHeight="1">
      <c r="A16" s="5" t="inlineStr">
        <is>
          <t>1.2.2</t>
        </is>
      </c>
      <c r="B16" s="6" t="inlineStr">
        <is>
          <t>Montagem, prumo, travamento e desforma de fôrmas de pilares P1-P24 (4 faces)</t>
        </is>
      </c>
      <c r="C16" s="5" t="inlineStr">
        <is>
          <t>m²</t>
        </is>
      </c>
      <c r="D16" s="7" t="n">
        <v>85.81999999999999</v>
      </c>
      <c r="E16" s="8" t="n">
        <v>70</v>
      </c>
      <c r="F16" s="9">
        <f>D16*E16</f>
        <v/>
      </c>
      <c r="G16" s="7" t="n">
        <v>0</v>
      </c>
      <c r="H16" s="7" t="n">
        <v>0</v>
      </c>
      <c r="I16" s="10" t="n">
        <v>85.81999999999999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11">
        <f>SUM(G16:R16)</f>
        <v/>
      </c>
      <c r="T16" s="7">
        <f>D16-S16</f>
        <v/>
      </c>
      <c r="U16" s="12">
        <f>S16/D16</f>
        <v/>
      </c>
    </row>
    <row r="17" ht="20" customHeight="1">
      <c r="A17" s="13" t="inlineStr">
        <is>
          <t>1.2.3</t>
        </is>
      </c>
      <c r="B17" s="14" t="inlineStr">
        <is>
          <t>Lançamento e vibração de concreto fck 30 MPa vigas superiores V101-V115</t>
        </is>
      </c>
      <c r="C17" s="13" t="inlineStr">
        <is>
          <t>m³</t>
        </is>
      </c>
      <c r="D17" s="15" t="n">
        <v>17.38</v>
      </c>
      <c r="E17" s="16" t="n">
        <v>110</v>
      </c>
      <c r="F17" s="17">
        <f>D17*E17</f>
        <v/>
      </c>
      <c r="G17" s="15" t="n">
        <v>0</v>
      </c>
      <c r="H17" s="15" t="n">
        <v>0</v>
      </c>
      <c r="I17" s="15" t="n">
        <v>0</v>
      </c>
      <c r="J17" s="10" t="n">
        <v>17.38</v>
      </c>
      <c r="K17" s="15" t="n">
        <v>0</v>
      </c>
      <c r="L17" s="15" t="n">
        <v>0</v>
      </c>
      <c r="M17" s="15" t="n">
        <v>0</v>
      </c>
      <c r="N17" s="15" t="n">
        <v>0</v>
      </c>
      <c r="O17" s="15" t="n">
        <v>0</v>
      </c>
      <c r="P17" s="15" t="n">
        <v>0</v>
      </c>
      <c r="Q17" s="15" t="n">
        <v>0</v>
      </c>
      <c r="R17" s="15" t="n">
        <v>0</v>
      </c>
      <c r="S17" s="18">
        <f>SUM(G17:R17)</f>
        <v/>
      </c>
      <c r="T17" s="15">
        <f>D17-S17</f>
        <v/>
      </c>
      <c r="U17" s="19">
        <f>S17/D17</f>
        <v/>
      </c>
    </row>
    <row r="18" ht="20" customHeight="1">
      <c r="A18" s="5" t="inlineStr">
        <is>
          <t>1.2.4</t>
        </is>
      </c>
      <c r="B18" s="6" t="inlineStr">
        <is>
          <t>Montagem, nivelamento e desforma de fôrmas vigas superiores (fundo e laterais)</t>
        </is>
      </c>
      <c r="C18" s="5" t="inlineStr">
        <is>
          <t>m²</t>
        </is>
      </c>
      <c r="D18" s="7" t="n">
        <v>208.62</v>
      </c>
      <c r="E18" s="8" t="n">
        <v>65</v>
      </c>
      <c r="F18" s="9">
        <f>D18*E18</f>
        <v/>
      </c>
      <c r="G18" s="7" t="n">
        <v>0</v>
      </c>
      <c r="H18" s="7" t="n">
        <v>0</v>
      </c>
      <c r="I18" s="10" t="n">
        <v>104.31</v>
      </c>
      <c r="J18" s="10" t="n">
        <v>104.31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11">
        <f>SUM(G18:R18)</f>
        <v/>
      </c>
      <c r="T18" s="7">
        <f>D18-S18</f>
        <v/>
      </c>
      <c r="U18" s="12">
        <f>S18/D18</f>
        <v/>
      </c>
    </row>
    <row r="19" ht="20" customHeight="1">
      <c r="A19" s="13" t="inlineStr">
        <is>
          <t>1.2.5</t>
        </is>
      </c>
      <c r="B19" s="14" t="inlineStr">
        <is>
          <t>Lançamento e sarrafeamento de concreto usinado na capa de laje e=5cm</t>
        </is>
      </c>
      <c r="C19" s="13" t="inlineStr">
        <is>
          <t>m³</t>
        </is>
      </c>
      <c r="D19" s="15" t="n">
        <v>13.17</v>
      </c>
      <c r="E19" s="16" t="n">
        <v>110</v>
      </c>
      <c r="F19" s="17">
        <f>D19*E19</f>
        <v/>
      </c>
      <c r="G19" s="15" t="n">
        <v>0</v>
      </c>
      <c r="H19" s="15" t="n">
        <v>0</v>
      </c>
      <c r="I19" s="15" t="n">
        <v>0</v>
      </c>
      <c r="J19" s="10" t="n">
        <v>13.17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  <c r="P19" s="15" t="n">
        <v>0</v>
      </c>
      <c r="Q19" s="15" t="n">
        <v>0</v>
      </c>
      <c r="R19" s="15" t="n">
        <v>0</v>
      </c>
      <c r="S19" s="18">
        <f>SUM(G19:R19)</f>
        <v/>
      </c>
      <c r="T19" s="15">
        <f>D19-S19</f>
        <v/>
      </c>
      <c r="U19" s="19">
        <f>S19/D19</f>
        <v/>
      </c>
    </row>
    <row r="20" ht="20" customHeight="1">
      <c r="A20" s="5" t="inlineStr">
        <is>
          <t>1.2.6</t>
        </is>
      </c>
      <c r="B20" s="6" t="inlineStr">
        <is>
          <t>Montagem de escoramento metálico e assoalho compensado para laje treliçada</t>
        </is>
      </c>
      <c r="C20" s="5" t="inlineStr">
        <is>
          <t>m²</t>
        </is>
      </c>
      <c r="D20" s="7" t="n">
        <v>263.48</v>
      </c>
      <c r="E20" s="8" t="n">
        <v>45</v>
      </c>
      <c r="F20" s="9">
        <f>D20*E20</f>
        <v/>
      </c>
      <c r="G20" s="7" t="n">
        <v>0</v>
      </c>
      <c r="H20" s="7" t="n">
        <v>0</v>
      </c>
      <c r="I20" s="10" t="n">
        <v>131.74</v>
      </c>
      <c r="J20" s="10" t="n">
        <v>131.74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11">
        <f>SUM(G20:R20)</f>
        <v/>
      </c>
      <c r="T20" s="7">
        <f>D20-S20</f>
        <v/>
      </c>
      <c r="U20" s="12">
        <f>S20/D20</f>
        <v/>
      </c>
    </row>
    <row r="21" ht="20" customHeight="1">
      <c r="A21" s="13" t="inlineStr">
        <is>
          <t>1.2.8</t>
        </is>
      </c>
      <c r="B21" s="14" t="inlineStr">
        <is>
          <t>Montagem de vigotas treliçadas TR 16745, lajotas EPS H12 e armadura capeamento</t>
        </is>
      </c>
      <c r="C21" s="13" t="inlineStr">
        <is>
          <t>m²</t>
        </is>
      </c>
      <c r="D21" s="15" t="n">
        <v>298.25</v>
      </c>
      <c r="E21" s="16" t="n">
        <v>35</v>
      </c>
      <c r="F21" s="17">
        <f>D21*E21</f>
        <v/>
      </c>
      <c r="G21" s="15" t="n">
        <v>0</v>
      </c>
      <c r="H21" s="15" t="n">
        <v>0</v>
      </c>
      <c r="I21" s="15" t="n">
        <v>0</v>
      </c>
      <c r="J21" s="10" t="n">
        <v>298.25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  <c r="P21" s="15" t="n">
        <v>0</v>
      </c>
      <c r="Q21" s="15" t="n">
        <v>0</v>
      </c>
      <c r="R21" s="15" t="n">
        <v>0</v>
      </c>
      <c r="S21" s="18">
        <f>SUM(G21:R21)</f>
        <v/>
      </c>
      <c r="T21" s="15">
        <f>D21-S21</f>
        <v/>
      </c>
      <c r="U21" s="19">
        <f>S21/D21</f>
        <v/>
      </c>
    </row>
    <row r="22" ht="20" customHeight="1">
      <c r="A22" s="5" t="inlineStr">
        <is>
          <t>1.2.10</t>
        </is>
      </c>
      <c r="B22" s="6" t="inlineStr">
        <is>
          <t>Mão de obra global de cura úmida (7 dias) e desforma gradual das estruturas</t>
        </is>
      </c>
      <c r="C22" s="5" t="inlineStr">
        <is>
          <t>vb</t>
        </is>
      </c>
      <c r="D22" s="7" t="n">
        <v>1</v>
      </c>
      <c r="E22" s="8" t="n">
        <v>128363.08</v>
      </c>
      <c r="F22" s="9">
        <f>D22*E22</f>
        <v/>
      </c>
      <c r="G22" s="10" t="n">
        <v>0.2</v>
      </c>
      <c r="H22" s="10" t="n">
        <v>0.25</v>
      </c>
      <c r="I22" s="10" t="n">
        <v>0.25</v>
      </c>
      <c r="J22" s="10" t="n">
        <v>0.3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11">
        <f>SUM(G22:R22)</f>
        <v/>
      </c>
      <c r="T22" s="7">
        <f>D22-S22</f>
        <v/>
      </c>
      <c r="U22" s="12">
        <f>S22/D22</f>
        <v/>
      </c>
    </row>
    <row r="23" ht="24" customHeight="1">
      <c r="A23" s="20" t="inlineStr">
        <is>
          <t>TOTAL BRUTO MEDIDO NO PERÍODO (R$):</t>
        </is>
      </c>
      <c r="F23" s="21">
        <f>SUM(F6:F22)</f>
        <v/>
      </c>
      <c r="G23" s="21">
        <f>SUMPRODUCT($E$6:$E$22,G$6:G$22)</f>
        <v/>
      </c>
      <c r="H23" s="21">
        <f>SUMPRODUCT($E$6:$E$22,H$6:H$22)</f>
        <v/>
      </c>
      <c r="I23" s="21">
        <f>SUMPRODUCT($E$6:$E$22,I$6:I$22)</f>
        <v/>
      </c>
      <c r="J23" s="21">
        <f>SUMPRODUCT($E$6:$E$22,J$6:J$22)</f>
        <v/>
      </c>
      <c r="K23" s="21">
        <f>SUMPRODUCT($E$6:$E$22,K$6:K$22)</f>
        <v/>
      </c>
      <c r="L23" s="21">
        <f>SUMPRODUCT($E$6:$E$22,L$6:L$22)</f>
        <v/>
      </c>
      <c r="M23" s="21">
        <f>SUMPRODUCT($E$6:$E$22,M$6:M$22)</f>
        <v/>
      </c>
      <c r="N23" s="21">
        <f>SUMPRODUCT($E$6:$E$22,N$6:N$22)</f>
        <v/>
      </c>
      <c r="O23" s="21">
        <f>SUMPRODUCT($E$6:$E$22,O$6:O$22)</f>
        <v/>
      </c>
      <c r="P23" s="21">
        <f>SUMPRODUCT($E$6:$E$22,P$6:P$22)</f>
        <v/>
      </c>
      <c r="Q23" s="21">
        <f>SUMPRODUCT($E$6:$E$22,Q$6:Q$22)</f>
        <v/>
      </c>
      <c r="R23" s="21">
        <f>SUMPRODUCT($E$6:$E$22,R$6:R$22)</f>
        <v/>
      </c>
      <c r="S23" s="21">
        <f>SUM(G23:R23)</f>
        <v/>
      </c>
      <c r="T23" s="21">
        <f>F23-S23</f>
        <v/>
      </c>
      <c r="U23" s="22">
        <f>S23/F23</f>
        <v/>
      </c>
    </row>
    <row r="24" ht="20" customHeight="1">
      <c r="A24" s="23" t="inlineStr">
        <is>
          <t>TOTAL ACUMULADO ATÉ A MEDIÇÃO (R$):</t>
        </is>
      </c>
      <c r="B24" s="24" t="n"/>
      <c r="C24" s="24" t="n"/>
      <c r="D24" s="24" t="n"/>
      <c r="E24" s="24" t="n"/>
      <c r="F24" s="24" t="n"/>
      <c r="G24" s="17">
        <f>SUM(G$23:G$23)</f>
        <v/>
      </c>
      <c r="H24" s="17">
        <f>SUM(G$23:H$23)</f>
        <v/>
      </c>
      <c r="I24" s="17">
        <f>SUM(G$23:I$23)</f>
        <v/>
      </c>
      <c r="J24" s="17">
        <f>SUM(G$23:J$23)</f>
        <v/>
      </c>
      <c r="K24" s="17">
        <f>SUM(G$23:K$23)</f>
        <v/>
      </c>
      <c r="L24" s="17">
        <f>SUM(G$23:L$23)</f>
        <v/>
      </c>
      <c r="M24" s="17">
        <f>SUM(G$23:M$23)</f>
        <v/>
      </c>
      <c r="N24" s="17">
        <f>SUM(G$23:N$23)</f>
        <v/>
      </c>
      <c r="O24" s="17">
        <f>SUM(G$23:O$23)</f>
        <v/>
      </c>
      <c r="P24" s="17">
        <f>SUM(G$23:P$23)</f>
        <v/>
      </c>
      <c r="Q24" s="17">
        <f>SUM(G$23:Q$23)</f>
        <v/>
      </c>
      <c r="R24" s="17">
        <f>SUM(G$23:R$23)</f>
        <v/>
      </c>
      <c r="S24" s="24" t="n"/>
      <c r="T24" s="24" t="n"/>
      <c r="U24" s="24" t="n"/>
    </row>
    <row r="25" ht="20" customHeight="1">
      <c r="A25" s="23" t="inlineStr">
        <is>
          <t>SALDO DO CONTRATO APÓS MEDIÇÃO (R$):</t>
        </is>
      </c>
      <c r="B25" s="24" t="n"/>
      <c r="C25" s="24" t="n"/>
      <c r="D25" s="24" t="n"/>
      <c r="E25" s="24" t="n"/>
      <c r="F25" s="24" t="n"/>
      <c r="G25" s="16">
        <f>$F$23-G24</f>
        <v/>
      </c>
      <c r="H25" s="16">
        <f>$F$23-H24</f>
        <v/>
      </c>
      <c r="I25" s="16">
        <f>$F$23-I24</f>
        <v/>
      </c>
      <c r="J25" s="16">
        <f>$F$23-J24</f>
        <v/>
      </c>
      <c r="K25" s="16">
        <f>$F$23-K24</f>
        <v/>
      </c>
      <c r="L25" s="16">
        <f>$F$23-L24</f>
        <v/>
      </c>
      <c r="M25" s="16">
        <f>$F$23-M24</f>
        <v/>
      </c>
      <c r="N25" s="16">
        <f>$F$23-N24</f>
        <v/>
      </c>
      <c r="O25" s="16">
        <f>$F$23-O24</f>
        <v/>
      </c>
      <c r="P25" s="16">
        <f>$F$23-P24</f>
        <v/>
      </c>
      <c r="Q25" s="16">
        <f>$F$23-Q24</f>
        <v/>
      </c>
      <c r="R25" s="16">
        <f>$F$23-R24</f>
        <v/>
      </c>
      <c r="S25" s="24" t="n"/>
      <c r="T25" s="24" t="n"/>
      <c r="U25" s="24" t="n"/>
    </row>
    <row r="26" ht="20" customHeight="1">
      <c r="A26" s="23" t="inlineStr">
        <is>
          <t>% AVANÇO ACUMULADO NO CONTRATO:</t>
        </is>
      </c>
      <c r="B26" s="24" t="n"/>
      <c r="C26" s="24" t="n"/>
      <c r="D26" s="24" t="n"/>
      <c r="E26" s="24" t="n"/>
      <c r="F26" s="24" t="n"/>
      <c r="G26" s="19">
        <f>G24/$F$23</f>
        <v/>
      </c>
      <c r="H26" s="19">
        <f>H24/$F$23</f>
        <v/>
      </c>
      <c r="I26" s="19">
        <f>I24/$F$23</f>
        <v/>
      </c>
      <c r="J26" s="19">
        <f>J24/$F$23</f>
        <v/>
      </c>
      <c r="K26" s="19">
        <f>K24/$F$23</f>
        <v/>
      </c>
      <c r="L26" s="19">
        <f>L24/$F$23</f>
        <v/>
      </c>
      <c r="M26" s="19">
        <f>M24/$F$23</f>
        <v/>
      </c>
      <c r="N26" s="19">
        <f>N24/$F$23</f>
        <v/>
      </c>
      <c r="O26" s="19">
        <f>O24/$F$23</f>
        <v/>
      </c>
      <c r="P26" s="19">
        <f>P24/$F$23</f>
        <v/>
      </c>
      <c r="Q26" s="19">
        <f>Q24/$F$23</f>
        <v/>
      </c>
      <c r="R26" s="19">
        <f>R24/$F$23</f>
        <v/>
      </c>
      <c r="S26" s="24" t="n"/>
      <c r="T26" s="24" t="n"/>
      <c r="U26" s="24" t="n"/>
    </row>
    <row r="27" ht="20" customHeight="1">
      <c r="A27" s="23" t="inlineStr">
        <is>
          <t>(-) RETENÇÃO TÉCNICA DE GARANTIA (5,0%):</t>
        </is>
      </c>
      <c r="B27" s="24" t="n"/>
      <c r="C27" s="24" t="n"/>
      <c r="D27" s="24" t="n"/>
      <c r="E27" s="24" t="n"/>
      <c r="F27" s="24" t="n"/>
      <c r="G27" s="25">
        <f>G23*0.05</f>
        <v/>
      </c>
      <c r="H27" s="25">
        <f>H23*0.05</f>
        <v/>
      </c>
      <c r="I27" s="25">
        <f>I23*0.05</f>
        <v/>
      </c>
      <c r="J27" s="25">
        <f>J23*0.05</f>
        <v/>
      </c>
      <c r="K27" s="25">
        <f>K23*0.05</f>
        <v/>
      </c>
      <c r="L27" s="25">
        <f>L23*0.05</f>
        <v/>
      </c>
      <c r="M27" s="25">
        <f>M23*0.05</f>
        <v/>
      </c>
      <c r="N27" s="25">
        <f>N23*0.05</f>
        <v/>
      </c>
      <c r="O27" s="25">
        <f>O23*0.05</f>
        <v/>
      </c>
      <c r="P27" s="25">
        <f>P23*0.05</f>
        <v/>
      </c>
      <c r="Q27" s="25">
        <f>Q23*0.05</f>
        <v/>
      </c>
      <c r="R27" s="25">
        <f>R23*0.05</f>
        <v/>
      </c>
      <c r="S27" s="24" t="n"/>
      <c r="T27" s="24" t="n"/>
      <c r="U27" s="24" t="n"/>
    </row>
    <row r="28" ht="24" customHeight="1">
      <c r="A28" s="23" t="inlineStr">
        <is>
          <t>(=) VALOR LÍQUIDO A LIBERAR NA NF-e:</t>
        </is>
      </c>
      <c r="B28" s="24" t="n"/>
      <c r="C28" s="24" t="n"/>
      <c r="D28" s="24" t="n"/>
      <c r="E28" s="24" t="n"/>
      <c r="F28" s="24" t="n"/>
      <c r="G28" s="26">
        <f>G23-G27</f>
        <v/>
      </c>
      <c r="H28" s="26">
        <f>H23-H27</f>
        <v/>
      </c>
      <c r="I28" s="26">
        <f>I23-I27</f>
        <v/>
      </c>
      <c r="J28" s="26">
        <f>J23-J27</f>
        <v/>
      </c>
      <c r="K28" s="26">
        <f>K23-K27</f>
        <v/>
      </c>
      <c r="L28" s="26">
        <f>L23-L27</f>
        <v/>
      </c>
      <c r="M28" s="26">
        <f>M23-M27</f>
        <v/>
      </c>
      <c r="N28" s="26">
        <f>N23-N27</f>
        <v/>
      </c>
      <c r="O28" s="26">
        <f>O23-O27</f>
        <v/>
      </c>
      <c r="P28" s="26">
        <f>P23-P27</f>
        <v/>
      </c>
      <c r="Q28" s="26">
        <f>Q23-Q27</f>
        <v/>
      </c>
      <c r="R28" s="26">
        <f>R23-R27</f>
        <v/>
      </c>
      <c r="S28" s="24" t="n"/>
      <c r="T28" s="24" t="n"/>
      <c r="U28" s="24" t="n"/>
    </row>
  </sheetData>
  <mergeCells count="16">
    <mergeCell ref="A24:F24"/>
    <mergeCell ref="A28:F28"/>
    <mergeCell ref="B4:B5"/>
    <mergeCell ref="A2:U2"/>
    <mergeCell ref="C4:C5"/>
    <mergeCell ref="A4:A5"/>
    <mergeCell ref="F4:F5"/>
    <mergeCell ref="D4:D5"/>
    <mergeCell ref="E4:E5"/>
    <mergeCell ref="S4:U4"/>
    <mergeCell ref="A27:F27"/>
    <mergeCell ref="A26:F26"/>
    <mergeCell ref="A23:E23"/>
    <mergeCell ref="G4:R4"/>
    <mergeCell ref="A1:U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16" customWidth="1" min="20" max="20"/>
    <col width="14" customWidth="1" min="21" max="21"/>
  </cols>
  <sheetData>
    <row r="1" ht="28" customHeight="1">
      <c r="A1" s="1" t="inlineStr">
        <is>
          <t>OBRA_NOVA — BOLETIM EVOLUTIVO DE MEDIÇÃO QUINZENAL: SUB-02 (EMPREITADA DE ALVENARIA DE VEDAÇÃO E REVESTIMENTOS)</t>
        </is>
      </c>
    </row>
    <row r="2" ht="20" customHeight="1">
      <c r="A2" s="2" t="inlineStr">
        <is>
          <t>Empreiteiro: Empreiteira de Alvenaria e Fachadas Ltda | Centro de Custo: CC-400 (Alvenaria e Revestimentos) | Vigência: Semanas S10 a S17 (60 dias corridos) | Retenção Técnica: 5,0% | Governança: POP 09 e POP 17</t>
        </is>
      </c>
    </row>
    <row r="4" ht="18" customHeight="1">
      <c r="A4" s="3" t="inlineStr">
        <is>
          <t>Código
EAP</t>
        </is>
      </c>
      <c r="B4" s="3" t="inlineStr">
        <is>
          <t>Descrição Pormenorizada do Serviço Contratado</t>
        </is>
      </c>
      <c r="C4" s="3" t="inlineStr">
        <is>
          <t>Unid</t>
        </is>
      </c>
      <c r="D4" s="3" t="inlineStr">
        <is>
          <t>Quantidade
Contratada</t>
        </is>
      </c>
      <c r="E4" s="3" t="inlineStr">
        <is>
          <t>Preço Unitário
(R$)</t>
        </is>
      </c>
      <c r="F4" s="3" t="inlineStr">
        <is>
          <t>Total Contrato
(R$)</t>
        </is>
      </c>
      <c r="G4" s="3" t="inlineStr">
        <is>
          <t>AVANÇO FÍSICO QUINZENAL DE PRODUÇÃO (12 MEDIÇÕES CONTRATUAIS - QTD MEDIDA)</t>
        </is>
      </c>
      <c r="S4" s="4" t="inlineStr">
        <is>
          <t>SALDOS E FECHAMENTO ACUMULADO</t>
        </is>
      </c>
    </row>
    <row r="5" ht="24" customHeight="1">
      <c r="G5" s="3" t="inlineStr">
        <is>
          <t>Medição 1
(Qtd)</t>
        </is>
      </c>
      <c r="H5" s="3" t="inlineStr">
        <is>
          <t>Medição 2
(Qtd)</t>
        </is>
      </c>
      <c r="I5" s="3" t="inlineStr">
        <is>
          <t>Medição 3
(Qtd)</t>
        </is>
      </c>
      <c r="J5" s="3" t="inlineStr">
        <is>
          <t>Medição 4
(Qtd)</t>
        </is>
      </c>
      <c r="K5" s="3" t="inlineStr">
        <is>
          <t>Medição 5
(Qtd)</t>
        </is>
      </c>
      <c r="L5" s="3" t="inlineStr">
        <is>
          <t>Medição 6
(Qtd)</t>
        </is>
      </c>
      <c r="M5" s="3" t="inlineStr">
        <is>
          <t>Medição 7
(Qtd)</t>
        </is>
      </c>
      <c r="N5" s="3" t="inlineStr">
        <is>
          <t>Medição 8
(Qtd)</t>
        </is>
      </c>
      <c r="O5" s="3" t="inlineStr">
        <is>
          <t>Medição 9
(Qtd)</t>
        </is>
      </c>
      <c r="P5" s="3" t="inlineStr">
        <is>
          <t>Medição 10
(Qtd)</t>
        </is>
      </c>
      <c r="Q5" s="3" t="inlineStr">
        <is>
          <t>Medição 11
(Qtd)</t>
        </is>
      </c>
      <c r="R5" s="3" t="inlineStr">
        <is>
          <t>Medição 12
(Qtd)</t>
        </is>
      </c>
      <c r="S5" s="4" t="inlineStr">
        <is>
          <t>Total Medido
Acumulado</t>
        </is>
      </c>
      <c r="T5" s="4" t="inlineStr">
        <is>
          <t>Saldo a Medir
(Quantidade)</t>
        </is>
      </c>
      <c r="U5" s="4" t="inlineStr">
        <is>
          <t>% Avanço
Físico</t>
        </is>
      </c>
    </row>
    <row r="6" ht="20" customHeight="1">
      <c r="A6" s="5" t="inlineStr">
        <is>
          <t>1.3.1</t>
        </is>
      </c>
      <c r="B6" s="6" t="inlineStr">
        <is>
          <t>Alvenaria de vedação em blocos de concreto 14x19x39cm e=14cm</t>
        </is>
      </c>
      <c r="C6" s="5" t="inlineStr">
        <is>
          <t>m²</t>
        </is>
      </c>
      <c r="D6" s="7" t="n">
        <v>450</v>
      </c>
      <c r="E6" s="8" t="n">
        <v>42</v>
      </c>
      <c r="F6" s="9">
        <f>D6*E6</f>
        <v/>
      </c>
      <c r="G6" s="7" t="n">
        <v>0</v>
      </c>
      <c r="H6" s="7" t="n">
        <v>0</v>
      </c>
      <c r="I6" s="7" t="n">
        <v>0</v>
      </c>
      <c r="J6" s="7" t="n">
        <v>0</v>
      </c>
      <c r="K6" s="10" t="n">
        <v>225</v>
      </c>
      <c r="L6" s="10" t="n">
        <v>225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11">
        <f>SUM(G6:R6)</f>
        <v/>
      </c>
      <c r="T6" s="7">
        <f>D6-S6</f>
        <v/>
      </c>
      <c r="U6" s="12">
        <f>S6/D6</f>
        <v/>
      </c>
    </row>
    <row r="7" ht="20" customHeight="1">
      <c r="A7" s="13" t="inlineStr">
        <is>
          <t>1.3.2</t>
        </is>
      </c>
      <c r="B7" s="14" t="inlineStr">
        <is>
          <t>Execução de vergas e contravergas pré-moldadas em vãos de portas e janelas</t>
        </is>
      </c>
      <c r="C7" s="13" t="inlineStr">
        <is>
          <t>m</t>
        </is>
      </c>
      <c r="D7" s="15" t="n">
        <v>68</v>
      </c>
      <c r="E7" s="16" t="n">
        <v>25</v>
      </c>
      <c r="F7" s="17">
        <f>D7*E7</f>
        <v/>
      </c>
      <c r="G7" s="15" t="n">
        <v>0</v>
      </c>
      <c r="H7" s="15" t="n">
        <v>0</v>
      </c>
      <c r="I7" s="15" t="n">
        <v>0</v>
      </c>
      <c r="J7" s="15" t="n">
        <v>0</v>
      </c>
      <c r="K7" s="10" t="n">
        <v>34</v>
      </c>
      <c r="L7" s="10" t="n">
        <v>34</v>
      </c>
      <c r="M7" s="15" t="n">
        <v>0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8">
        <f>SUM(G7:R7)</f>
        <v/>
      </c>
      <c r="T7" s="15">
        <f>D7-S7</f>
        <v/>
      </c>
      <c r="U7" s="19">
        <f>S7/D7</f>
        <v/>
      </c>
    </row>
    <row r="8" ht="20" customHeight="1">
      <c r="A8" s="5" t="inlineStr">
        <is>
          <t>1.3.3</t>
        </is>
      </c>
      <c r="B8" s="6" t="inlineStr">
        <is>
          <t>Encunhamento superior elástico de alvenaria com poliuretano expandido</t>
        </is>
      </c>
      <c r="C8" s="5" t="inlineStr">
        <is>
          <t>m</t>
        </is>
      </c>
      <c r="D8" s="7" t="n">
        <v>140</v>
      </c>
      <c r="E8" s="8" t="n">
        <v>15</v>
      </c>
      <c r="F8" s="9">
        <f>D8*E8</f>
        <v/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10" t="n">
        <v>140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11">
        <f>SUM(G8:R8)</f>
        <v/>
      </c>
      <c r="T8" s="7">
        <f>D8-S8</f>
        <v/>
      </c>
      <c r="U8" s="12">
        <f>S8/D8</f>
        <v/>
      </c>
    </row>
    <row r="9" ht="20" customHeight="1">
      <c r="A9" s="13" t="inlineStr">
        <is>
          <t>1.5.1</t>
        </is>
      </c>
      <c r="B9" s="14" t="inlineStr">
        <is>
          <t>Chapisco rolado industrializado com aditivo polimérico Bianco</t>
        </is>
      </c>
      <c r="C9" s="13" t="inlineStr">
        <is>
          <t>m²</t>
        </is>
      </c>
      <c r="D9" s="15" t="n">
        <v>920</v>
      </c>
      <c r="E9" s="16" t="n">
        <v>8</v>
      </c>
      <c r="F9" s="17">
        <f>D9*E9</f>
        <v/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0" t="n">
        <v>460</v>
      </c>
      <c r="M9" s="10" t="n">
        <v>460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8">
        <f>SUM(G9:R9)</f>
        <v/>
      </c>
      <c r="T9" s="15">
        <f>D9-S9</f>
        <v/>
      </c>
      <c r="U9" s="19">
        <f>S9/D9</f>
        <v/>
      </c>
    </row>
    <row r="10" ht="20" customHeight="1">
      <c r="A10" s="5" t="inlineStr">
        <is>
          <t>1.5.2</t>
        </is>
      </c>
      <c r="B10" s="6" t="inlineStr">
        <is>
          <t>Emboço paulista mecanizado com projeção contínua sarrafeado e desempenado</t>
        </is>
      </c>
      <c r="C10" s="5" t="inlineStr">
        <is>
          <t>m²</t>
        </is>
      </c>
      <c r="D10" s="7" t="n">
        <v>920</v>
      </c>
      <c r="E10" s="8" t="n">
        <v>28</v>
      </c>
      <c r="F10" s="9">
        <f>D10*E10</f>
        <v/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10" t="n">
        <v>460</v>
      </c>
      <c r="N10" s="10" t="n">
        <v>460</v>
      </c>
      <c r="O10" s="7" t="n">
        <v>0</v>
      </c>
      <c r="P10" s="7" t="n">
        <v>0</v>
      </c>
      <c r="Q10" s="7" t="n">
        <v>0</v>
      </c>
      <c r="R10" s="7" t="n">
        <v>0</v>
      </c>
      <c r="S10" s="11">
        <f>SUM(G10:R10)</f>
        <v/>
      </c>
      <c r="T10" s="7">
        <f>D10-S10</f>
        <v/>
      </c>
      <c r="U10" s="12">
        <f>S10/D10</f>
        <v/>
      </c>
    </row>
    <row r="11" ht="20" customHeight="1">
      <c r="A11" s="13" t="inlineStr">
        <is>
          <t>1.5.3</t>
        </is>
      </c>
      <c r="B11" s="14" t="inlineStr">
        <is>
          <t>Mão de obra especializada de operação de andaimes, recortes e arremates</t>
        </is>
      </c>
      <c r="C11" s="13" t="inlineStr">
        <is>
          <t>vb</t>
        </is>
      </c>
      <c r="D11" s="15" t="n">
        <v>1</v>
      </c>
      <c r="E11" s="16" t="n">
        <v>82780</v>
      </c>
      <c r="F11" s="17">
        <f>D11*E11</f>
        <v/>
      </c>
      <c r="G11" s="15" t="n">
        <v>0</v>
      </c>
      <c r="H11" s="15" t="n">
        <v>0</v>
      </c>
      <c r="I11" s="15" t="n">
        <v>0</v>
      </c>
      <c r="J11" s="15" t="n">
        <v>0</v>
      </c>
      <c r="K11" s="10" t="n">
        <v>0.25</v>
      </c>
      <c r="L11" s="10" t="n">
        <v>0.25</v>
      </c>
      <c r="M11" s="10" t="n">
        <v>0.25</v>
      </c>
      <c r="N11" s="10" t="n">
        <v>0.25</v>
      </c>
      <c r="O11" s="15" t="n">
        <v>0</v>
      </c>
      <c r="P11" s="15" t="n">
        <v>0</v>
      </c>
      <c r="Q11" s="15" t="n">
        <v>0</v>
      </c>
      <c r="R11" s="15" t="n">
        <v>0</v>
      </c>
      <c r="S11" s="18">
        <f>SUM(G11:R11)</f>
        <v/>
      </c>
      <c r="T11" s="15">
        <f>D11-S11</f>
        <v/>
      </c>
      <c r="U11" s="19">
        <f>S11/D11</f>
        <v/>
      </c>
    </row>
    <row r="12" ht="24" customHeight="1">
      <c r="A12" s="20" t="inlineStr">
        <is>
          <t>TOTAL BRUTO MEDIDO NO PERÍODO (R$):</t>
        </is>
      </c>
      <c r="F12" s="21">
        <f>SUM(F6:F11)</f>
        <v/>
      </c>
      <c r="G12" s="21">
        <f>SUMPRODUCT($E$6:$E$11,G$6:G$11)</f>
        <v/>
      </c>
      <c r="H12" s="21">
        <f>SUMPRODUCT($E$6:$E$11,H$6:H$11)</f>
        <v/>
      </c>
      <c r="I12" s="21">
        <f>SUMPRODUCT($E$6:$E$11,I$6:I$11)</f>
        <v/>
      </c>
      <c r="J12" s="21">
        <f>SUMPRODUCT($E$6:$E$11,J$6:J$11)</f>
        <v/>
      </c>
      <c r="K12" s="21">
        <f>SUMPRODUCT($E$6:$E$11,K$6:K$11)</f>
        <v/>
      </c>
      <c r="L12" s="21">
        <f>SUMPRODUCT($E$6:$E$11,L$6:L$11)</f>
        <v/>
      </c>
      <c r="M12" s="21">
        <f>SUMPRODUCT($E$6:$E$11,M$6:M$11)</f>
        <v/>
      </c>
      <c r="N12" s="21">
        <f>SUMPRODUCT($E$6:$E$11,N$6:N$11)</f>
        <v/>
      </c>
      <c r="O12" s="21">
        <f>SUMPRODUCT($E$6:$E$11,O$6:O$11)</f>
        <v/>
      </c>
      <c r="P12" s="21">
        <f>SUMPRODUCT($E$6:$E$11,P$6:P$11)</f>
        <v/>
      </c>
      <c r="Q12" s="21">
        <f>SUMPRODUCT($E$6:$E$11,Q$6:Q$11)</f>
        <v/>
      </c>
      <c r="R12" s="21">
        <f>SUMPRODUCT($E$6:$E$11,R$6:R$11)</f>
        <v/>
      </c>
      <c r="S12" s="21">
        <f>SUM(G12:R12)</f>
        <v/>
      </c>
      <c r="T12" s="21">
        <f>F12-S12</f>
        <v/>
      </c>
      <c r="U12" s="22">
        <f>S12/F12</f>
        <v/>
      </c>
    </row>
    <row r="13" ht="20" customHeight="1">
      <c r="A13" s="23" t="inlineStr">
        <is>
          <t>TOTAL ACUMULADO ATÉ A MEDIÇÃO (R$):</t>
        </is>
      </c>
      <c r="B13" s="24" t="n"/>
      <c r="C13" s="24" t="n"/>
      <c r="D13" s="24" t="n"/>
      <c r="E13" s="24" t="n"/>
      <c r="F13" s="24" t="n"/>
      <c r="G13" s="17">
        <f>SUM(G$12:G$12)</f>
        <v/>
      </c>
      <c r="H13" s="17">
        <f>SUM(G$12:H$12)</f>
        <v/>
      </c>
      <c r="I13" s="17">
        <f>SUM(G$12:I$12)</f>
        <v/>
      </c>
      <c r="J13" s="17">
        <f>SUM(G$12:J$12)</f>
        <v/>
      </c>
      <c r="K13" s="17">
        <f>SUM(G$12:K$12)</f>
        <v/>
      </c>
      <c r="L13" s="17">
        <f>SUM(G$12:L$12)</f>
        <v/>
      </c>
      <c r="M13" s="17">
        <f>SUM(G$12:M$12)</f>
        <v/>
      </c>
      <c r="N13" s="17">
        <f>SUM(G$12:N$12)</f>
        <v/>
      </c>
      <c r="O13" s="17">
        <f>SUM(G$12:O$12)</f>
        <v/>
      </c>
      <c r="P13" s="17">
        <f>SUM(G$12:P$12)</f>
        <v/>
      </c>
      <c r="Q13" s="17">
        <f>SUM(G$12:Q$12)</f>
        <v/>
      </c>
      <c r="R13" s="17">
        <f>SUM(G$12:R$12)</f>
        <v/>
      </c>
      <c r="S13" s="24" t="n"/>
      <c r="T13" s="24" t="n"/>
      <c r="U13" s="24" t="n"/>
    </row>
    <row r="14" ht="20" customHeight="1">
      <c r="A14" s="23" t="inlineStr">
        <is>
          <t>SALDO DO CONTRATO APÓS MEDIÇÃO (R$):</t>
        </is>
      </c>
      <c r="B14" s="24" t="n"/>
      <c r="C14" s="24" t="n"/>
      <c r="D14" s="24" t="n"/>
      <c r="E14" s="24" t="n"/>
      <c r="F14" s="24" t="n"/>
      <c r="G14" s="16">
        <f>$F$12-G13</f>
        <v/>
      </c>
      <c r="H14" s="16">
        <f>$F$12-H13</f>
        <v/>
      </c>
      <c r="I14" s="16">
        <f>$F$12-I13</f>
        <v/>
      </c>
      <c r="J14" s="16">
        <f>$F$12-J13</f>
        <v/>
      </c>
      <c r="K14" s="16">
        <f>$F$12-K13</f>
        <v/>
      </c>
      <c r="L14" s="16">
        <f>$F$12-L13</f>
        <v/>
      </c>
      <c r="M14" s="16">
        <f>$F$12-M13</f>
        <v/>
      </c>
      <c r="N14" s="16">
        <f>$F$12-N13</f>
        <v/>
      </c>
      <c r="O14" s="16">
        <f>$F$12-O13</f>
        <v/>
      </c>
      <c r="P14" s="16">
        <f>$F$12-P13</f>
        <v/>
      </c>
      <c r="Q14" s="16">
        <f>$F$12-Q13</f>
        <v/>
      </c>
      <c r="R14" s="16">
        <f>$F$12-R13</f>
        <v/>
      </c>
      <c r="S14" s="24" t="n"/>
      <c r="T14" s="24" t="n"/>
      <c r="U14" s="24" t="n"/>
    </row>
    <row r="15" ht="20" customHeight="1">
      <c r="A15" s="23" t="inlineStr">
        <is>
          <t>% AVANÇO ACUMULADO NO CONTRATO:</t>
        </is>
      </c>
      <c r="B15" s="24" t="n"/>
      <c r="C15" s="24" t="n"/>
      <c r="D15" s="24" t="n"/>
      <c r="E15" s="24" t="n"/>
      <c r="F15" s="24" t="n"/>
      <c r="G15" s="19">
        <f>G13/$F$12</f>
        <v/>
      </c>
      <c r="H15" s="19">
        <f>H13/$F$12</f>
        <v/>
      </c>
      <c r="I15" s="19">
        <f>I13/$F$12</f>
        <v/>
      </c>
      <c r="J15" s="19">
        <f>J13/$F$12</f>
        <v/>
      </c>
      <c r="K15" s="19">
        <f>K13/$F$12</f>
        <v/>
      </c>
      <c r="L15" s="19">
        <f>L13/$F$12</f>
        <v/>
      </c>
      <c r="M15" s="19">
        <f>M13/$F$12</f>
        <v/>
      </c>
      <c r="N15" s="19">
        <f>N13/$F$12</f>
        <v/>
      </c>
      <c r="O15" s="19">
        <f>O13/$F$12</f>
        <v/>
      </c>
      <c r="P15" s="19">
        <f>P13/$F$12</f>
        <v/>
      </c>
      <c r="Q15" s="19">
        <f>Q13/$F$12</f>
        <v/>
      </c>
      <c r="R15" s="19">
        <f>R13/$F$12</f>
        <v/>
      </c>
      <c r="S15" s="24" t="n"/>
      <c r="T15" s="24" t="n"/>
      <c r="U15" s="24" t="n"/>
    </row>
    <row r="16" ht="20" customHeight="1">
      <c r="A16" s="23" t="inlineStr">
        <is>
          <t>(-) RETENÇÃO TÉCNICA DE GARANTIA (5,0%):</t>
        </is>
      </c>
      <c r="B16" s="24" t="n"/>
      <c r="C16" s="24" t="n"/>
      <c r="D16" s="24" t="n"/>
      <c r="E16" s="24" t="n"/>
      <c r="F16" s="24" t="n"/>
      <c r="G16" s="25">
        <f>G12*0.05</f>
        <v/>
      </c>
      <c r="H16" s="25">
        <f>H12*0.05</f>
        <v/>
      </c>
      <c r="I16" s="25">
        <f>I12*0.05</f>
        <v/>
      </c>
      <c r="J16" s="25">
        <f>J12*0.05</f>
        <v/>
      </c>
      <c r="K16" s="25">
        <f>K12*0.05</f>
        <v/>
      </c>
      <c r="L16" s="25">
        <f>L12*0.05</f>
        <v/>
      </c>
      <c r="M16" s="25">
        <f>M12*0.05</f>
        <v/>
      </c>
      <c r="N16" s="25">
        <f>N12*0.05</f>
        <v/>
      </c>
      <c r="O16" s="25">
        <f>O12*0.05</f>
        <v/>
      </c>
      <c r="P16" s="25">
        <f>P12*0.05</f>
        <v/>
      </c>
      <c r="Q16" s="25">
        <f>Q12*0.05</f>
        <v/>
      </c>
      <c r="R16" s="25">
        <f>R12*0.05</f>
        <v/>
      </c>
      <c r="S16" s="24" t="n"/>
      <c r="T16" s="24" t="n"/>
      <c r="U16" s="24" t="n"/>
    </row>
    <row r="17" ht="24" customHeight="1">
      <c r="A17" s="23" t="inlineStr">
        <is>
          <t>(=) VALOR LÍQUIDO A LIBERAR NA NF-e:</t>
        </is>
      </c>
      <c r="B17" s="24" t="n"/>
      <c r="C17" s="24" t="n"/>
      <c r="D17" s="24" t="n"/>
      <c r="E17" s="24" t="n"/>
      <c r="F17" s="24" t="n"/>
      <c r="G17" s="26">
        <f>G12-G16</f>
        <v/>
      </c>
      <c r="H17" s="26">
        <f>H12-H16</f>
        <v/>
      </c>
      <c r="I17" s="26">
        <f>I12-I16</f>
        <v/>
      </c>
      <c r="J17" s="26">
        <f>J12-J16</f>
        <v/>
      </c>
      <c r="K17" s="26">
        <f>K12-K16</f>
        <v/>
      </c>
      <c r="L17" s="26">
        <f>L12-L16</f>
        <v/>
      </c>
      <c r="M17" s="26">
        <f>M12-M16</f>
        <v/>
      </c>
      <c r="N17" s="26">
        <f>N12-N16</f>
        <v/>
      </c>
      <c r="O17" s="26">
        <f>O12-O16</f>
        <v/>
      </c>
      <c r="P17" s="26">
        <f>P12-P16</f>
        <v/>
      </c>
      <c r="Q17" s="26">
        <f>Q12-Q16</f>
        <v/>
      </c>
      <c r="R17" s="26">
        <f>R12-R16</f>
        <v/>
      </c>
      <c r="S17" s="24" t="n"/>
      <c r="T17" s="24" t="n"/>
      <c r="U17" s="24" t="n"/>
    </row>
  </sheetData>
  <mergeCells count="16">
    <mergeCell ref="A16:F16"/>
    <mergeCell ref="A12:E12"/>
    <mergeCell ref="B4:B5"/>
    <mergeCell ref="A2:U2"/>
    <mergeCell ref="A13:F13"/>
    <mergeCell ref="C4:C5"/>
    <mergeCell ref="A4:A5"/>
    <mergeCell ref="F4:F5"/>
    <mergeCell ref="D4:D5"/>
    <mergeCell ref="E4:E5"/>
    <mergeCell ref="S4:U4"/>
    <mergeCell ref="A14:F14"/>
    <mergeCell ref="A17:F17"/>
    <mergeCell ref="G4:R4"/>
    <mergeCell ref="A1:U1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16" customWidth="1" min="20" max="20"/>
    <col width="14" customWidth="1" min="21" max="21"/>
  </cols>
  <sheetData>
    <row r="1" ht="28" customHeight="1">
      <c r="A1" s="1" t="inlineStr">
        <is>
          <t>OBRA_NOVA — BOLETIM EVOLUTIVO DE MEDIÇÃO QUINZENAL: SUB-03 (EMPREITADA DE COBERTURA TERMOACÚSTICA E CALHAS)</t>
        </is>
      </c>
    </row>
    <row r="2" ht="20" customHeight="1">
      <c r="A2" s="2" t="inlineStr">
        <is>
          <t>Empreiteiro: Empreiteira de Coberturas Industriais Ltda | Centro de Custo: CC-500 (Cobertura Metálica) | Vigência: Semanas S10 a S15 (45 dias corridos) | Retenção Técnica: 5,0% | Governança: POP 09 e POP 17</t>
        </is>
      </c>
    </row>
    <row r="4" ht="18" customHeight="1">
      <c r="A4" s="3" t="inlineStr">
        <is>
          <t>Código
EAP</t>
        </is>
      </c>
      <c r="B4" s="3" t="inlineStr">
        <is>
          <t>Descrição Pormenorizada do Serviço Contratado</t>
        </is>
      </c>
      <c r="C4" s="3" t="inlineStr">
        <is>
          <t>Unid</t>
        </is>
      </c>
      <c r="D4" s="3" t="inlineStr">
        <is>
          <t>Quantidade
Contratada</t>
        </is>
      </c>
      <c r="E4" s="3" t="inlineStr">
        <is>
          <t>Preço Unitário
(R$)</t>
        </is>
      </c>
      <c r="F4" s="3" t="inlineStr">
        <is>
          <t>Total Contrato
(R$)</t>
        </is>
      </c>
      <c r="G4" s="3" t="inlineStr">
        <is>
          <t>AVANÇO FÍSICO QUINZENAL DE PRODUÇÃO (12 MEDIÇÕES CONTRATUAIS - QTD MEDIDA)</t>
        </is>
      </c>
      <c r="S4" s="4" t="inlineStr">
        <is>
          <t>SALDOS E FECHAMENTO ACUMULADO</t>
        </is>
      </c>
    </row>
    <row r="5" ht="24" customHeight="1">
      <c r="G5" s="3" t="inlineStr">
        <is>
          <t>Medição 1
(Qtd)</t>
        </is>
      </c>
      <c r="H5" s="3" t="inlineStr">
        <is>
          <t>Medição 2
(Qtd)</t>
        </is>
      </c>
      <c r="I5" s="3" t="inlineStr">
        <is>
          <t>Medição 3
(Qtd)</t>
        </is>
      </c>
      <c r="J5" s="3" t="inlineStr">
        <is>
          <t>Medição 4
(Qtd)</t>
        </is>
      </c>
      <c r="K5" s="3" t="inlineStr">
        <is>
          <t>Medição 5
(Qtd)</t>
        </is>
      </c>
      <c r="L5" s="3" t="inlineStr">
        <is>
          <t>Medição 6
(Qtd)</t>
        </is>
      </c>
      <c r="M5" s="3" t="inlineStr">
        <is>
          <t>Medição 7
(Qtd)</t>
        </is>
      </c>
      <c r="N5" s="3" t="inlineStr">
        <is>
          <t>Medição 8
(Qtd)</t>
        </is>
      </c>
      <c r="O5" s="3" t="inlineStr">
        <is>
          <t>Medição 9
(Qtd)</t>
        </is>
      </c>
      <c r="P5" s="3" t="inlineStr">
        <is>
          <t>Medição 10
(Qtd)</t>
        </is>
      </c>
      <c r="Q5" s="3" t="inlineStr">
        <is>
          <t>Medição 11
(Qtd)</t>
        </is>
      </c>
      <c r="R5" s="3" t="inlineStr">
        <is>
          <t>Medição 12
(Qtd)</t>
        </is>
      </c>
      <c r="S5" s="4" t="inlineStr">
        <is>
          <t>Total Medido
Acumulado</t>
        </is>
      </c>
      <c r="T5" s="4" t="inlineStr">
        <is>
          <t>Saldo a Medir
(Quantidade)</t>
        </is>
      </c>
      <c r="U5" s="4" t="inlineStr">
        <is>
          <t>% Avanço
Físico</t>
        </is>
      </c>
    </row>
    <row r="6" ht="20" customHeight="1">
      <c r="A6" s="5" t="inlineStr">
        <is>
          <t>1.4.1</t>
        </is>
      </c>
      <c r="B6" s="6" t="inlineStr">
        <is>
          <t>Montagem e fixação de terças metálicas em perfil U enrijecido galvanizado</t>
        </is>
      </c>
      <c r="C6" s="5" t="inlineStr">
        <is>
          <t>kg</t>
        </is>
      </c>
      <c r="D6" s="7" t="n">
        <v>1850</v>
      </c>
      <c r="E6" s="8" t="n">
        <v>8</v>
      </c>
      <c r="F6" s="9">
        <f>D6*E6</f>
        <v/>
      </c>
      <c r="G6" s="7" t="n">
        <v>0</v>
      </c>
      <c r="H6" s="7" t="n">
        <v>0</v>
      </c>
      <c r="I6" s="7" t="n">
        <v>0</v>
      </c>
      <c r="J6" s="7" t="n">
        <v>0</v>
      </c>
      <c r="K6" s="10" t="n">
        <v>1850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11">
        <f>SUM(G6:R6)</f>
        <v/>
      </c>
      <c r="T6" s="7">
        <f>D6-S6</f>
        <v/>
      </c>
      <c r="U6" s="12">
        <f>S6/D6</f>
        <v/>
      </c>
    </row>
    <row r="7" ht="20" customHeight="1">
      <c r="A7" s="13" t="inlineStr">
        <is>
          <t>1.4.2</t>
        </is>
      </c>
      <c r="B7" s="14" t="inlineStr">
        <is>
          <t>Montagem e fixação de telhas sandwich termoacústicas PIR 30mm trapézio</t>
        </is>
      </c>
      <c r="C7" s="13" t="inlineStr">
        <is>
          <t>m²</t>
        </is>
      </c>
      <c r="D7" s="15" t="n">
        <v>381.29</v>
      </c>
      <c r="E7" s="16" t="n">
        <v>38</v>
      </c>
      <c r="F7" s="17">
        <f>D7*E7</f>
        <v/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0" t="n">
        <v>381.29</v>
      </c>
      <c r="M7" s="15" t="n">
        <v>0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8">
        <f>SUM(G7:R7)</f>
        <v/>
      </c>
      <c r="T7" s="15">
        <f>D7-S7</f>
        <v/>
      </c>
      <c r="U7" s="19">
        <f>S7/D7</f>
        <v/>
      </c>
    </row>
    <row r="8" ht="20" customHeight="1">
      <c r="A8" s="5" t="inlineStr">
        <is>
          <t>1.4.3</t>
        </is>
      </c>
      <c r="B8" s="6" t="inlineStr">
        <is>
          <t>Instalação de calhas metálicas galvanizadas corte 50 e condutores</t>
        </is>
      </c>
      <c r="C8" s="5" t="inlineStr">
        <is>
          <t>m</t>
        </is>
      </c>
      <c r="D8" s="7" t="n">
        <v>64</v>
      </c>
      <c r="E8" s="8" t="n">
        <v>45</v>
      </c>
      <c r="F8" s="9">
        <f>D8*E8</f>
        <v/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10" t="n">
        <v>64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11">
        <f>SUM(G8:R8)</f>
        <v/>
      </c>
      <c r="T8" s="7">
        <f>D8-S8</f>
        <v/>
      </c>
      <c r="U8" s="12">
        <f>S8/D8</f>
        <v/>
      </c>
    </row>
    <row r="9" ht="20" customHeight="1">
      <c r="A9" s="13" t="inlineStr">
        <is>
          <t>1.4.4</t>
        </is>
      </c>
      <c r="B9" s="14" t="inlineStr">
        <is>
          <t>Instalação de rufos de platibanda, cumeeiras seladas e arremates estanques</t>
        </is>
      </c>
      <c r="C9" s="13" t="inlineStr">
        <is>
          <t>m</t>
        </is>
      </c>
      <c r="D9" s="15" t="n">
        <v>82</v>
      </c>
      <c r="E9" s="16" t="n">
        <v>35</v>
      </c>
      <c r="F9" s="17">
        <f>D9*E9</f>
        <v/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0" t="n">
        <v>82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8">
        <f>SUM(G9:R9)</f>
        <v/>
      </c>
      <c r="T9" s="15">
        <f>D9-S9</f>
        <v/>
      </c>
      <c r="U9" s="19">
        <f>S9/D9</f>
        <v/>
      </c>
    </row>
    <row r="10" ht="20" customHeight="1">
      <c r="A10" s="5" t="inlineStr">
        <is>
          <t>1.4.5</t>
        </is>
      </c>
      <c r="B10" s="6" t="inlineStr">
        <is>
          <t>Mão de obra global de montagem com linha de vida e teste de mangueira</t>
        </is>
      </c>
      <c r="C10" s="5" t="inlineStr">
        <is>
          <t>vb</t>
        </is>
      </c>
      <c r="D10" s="7" t="n">
        <v>1</v>
      </c>
      <c r="E10" s="8" t="n">
        <v>7460.98</v>
      </c>
      <c r="F10" s="9">
        <f>D10*E10</f>
        <v/>
      </c>
      <c r="G10" s="7" t="n">
        <v>0</v>
      </c>
      <c r="H10" s="7" t="n">
        <v>0</v>
      </c>
      <c r="I10" s="7" t="n">
        <v>0</v>
      </c>
      <c r="J10" s="7" t="n">
        <v>0</v>
      </c>
      <c r="K10" s="10" t="n">
        <v>0.4</v>
      </c>
      <c r="L10" s="10" t="n">
        <v>0.4</v>
      </c>
      <c r="M10" s="10" t="n">
        <v>0.2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11">
        <f>SUM(G10:R10)</f>
        <v/>
      </c>
      <c r="T10" s="7">
        <f>D10-S10</f>
        <v/>
      </c>
      <c r="U10" s="12">
        <f>S10/D10</f>
        <v/>
      </c>
    </row>
    <row r="11" ht="24" customHeight="1">
      <c r="A11" s="20" t="inlineStr">
        <is>
          <t>TOTAL BRUTO MEDIDO NO PERÍODO (R$):</t>
        </is>
      </c>
      <c r="F11" s="21">
        <f>SUM(F6:F10)</f>
        <v/>
      </c>
      <c r="G11" s="21">
        <f>SUMPRODUCT($E$6:$E$10,G$6:G$10)</f>
        <v/>
      </c>
      <c r="H11" s="21">
        <f>SUMPRODUCT($E$6:$E$10,H$6:H$10)</f>
        <v/>
      </c>
      <c r="I11" s="21">
        <f>SUMPRODUCT($E$6:$E$10,I$6:I$10)</f>
        <v/>
      </c>
      <c r="J11" s="21">
        <f>SUMPRODUCT($E$6:$E$10,J$6:J$10)</f>
        <v/>
      </c>
      <c r="K11" s="21">
        <f>SUMPRODUCT($E$6:$E$10,K$6:K$10)</f>
        <v/>
      </c>
      <c r="L11" s="21">
        <f>SUMPRODUCT($E$6:$E$10,L$6:L$10)</f>
        <v/>
      </c>
      <c r="M11" s="21">
        <f>SUMPRODUCT($E$6:$E$10,M$6:M$10)</f>
        <v/>
      </c>
      <c r="N11" s="21">
        <f>SUMPRODUCT($E$6:$E$10,N$6:N$10)</f>
        <v/>
      </c>
      <c r="O11" s="21">
        <f>SUMPRODUCT($E$6:$E$10,O$6:O$10)</f>
        <v/>
      </c>
      <c r="P11" s="21">
        <f>SUMPRODUCT($E$6:$E$10,P$6:P$10)</f>
        <v/>
      </c>
      <c r="Q11" s="21">
        <f>SUMPRODUCT($E$6:$E$10,Q$6:Q$10)</f>
        <v/>
      </c>
      <c r="R11" s="21">
        <f>SUMPRODUCT($E$6:$E$10,R$6:R$10)</f>
        <v/>
      </c>
      <c r="S11" s="21">
        <f>SUM(G11:R11)</f>
        <v/>
      </c>
      <c r="T11" s="21">
        <f>F11-S11</f>
        <v/>
      </c>
      <c r="U11" s="22">
        <f>S11/F11</f>
        <v/>
      </c>
    </row>
    <row r="12" ht="20" customHeight="1">
      <c r="A12" s="23" t="inlineStr">
        <is>
          <t>TOTAL ACUMULADO ATÉ A MEDIÇÃO (R$):</t>
        </is>
      </c>
      <c r="B12" s="24" t="n"/>
      <c r="C12" s="24" t="n"/>
      <c r="D12" s="24" t="n"/>
      <c r="E12" s="24" t="n"/>
      <c r="F12" s="24" t="n"/>
      <c r="G12" s="17">
        <f>SUM(G$11:G$11)</f>
        <v/>
      </c>
      <c r="H12" s="17">
        <f>SUM(G$11:H$11)</f>
        <v/>
      </c>
      <c r="I12" s="17">
        <f>SUM(G$11:I$11)</f>
        <v/>
      </c>
      <c r="J12" s="17">
        <f>SUM(G$11:J$11)</f>
        <v/>
      </c>
      <c r="K12" s="17">
        <f>SUM(G$11:K$11)</f>
        <v/>
      </c>
      <c r="L12" s="17">
        <f>SUM(G$11:L$11)</f>
        <v/>
      </c>
      <c r="M12" s="17">
        <f>SUM(G$11:M$11)</f>
        <v/>
      </c>
      <c r="N12" s="17">
        <f>SUM(G$11:N$11)</f>
        <v/>
      </c>
      <c r="O12" s="17">
        <f>SUM(G$11:O$11)</f>
        <v/>
      </c>
      <c r="P12" s="17">
        <f>SUM(G$11:P$11)</f>
        <v/>
      </c>
      <c r="Q12" s="17">
        <f>SUM(G$11:Q$11)</f>
        <v/>
      </c>
      <c r="R12" s="17">
        <f>SUM(G$11:R$11)</f>
        <v/>
      </c>
      <c r="S12" s="24" t="n"/>
      <c r="T12" s="24" t="n"/>
      <c r="U12" s="24" t="n"/>
    </row>
    <row r="13" ht="20" customHeight="1">
      <c r="A13" s="23" t="inlineStr">
        <is>
          <t>SALDO DO CONTRATO APÓS MEDIÇÃO (R$):</t>
        </is>
      </c>
      <c r="B13" s="24" t="n"/>
      <c r="C13" s="24" t="n"/>
      <c r="D13" s="24" t="n"/>
      <c r="E13" s="24" t="n"/>
      <c r="F13" s="24" t="n"/>
      <c r="G13" s="16">
        <f>$F$11-G12</f>
        <v/>
      </c>
      <c r="H13" s="16">
        <f>$F$11-H12</f>
        <v/>
      </c>
      <c r="I13" s="16">
        <f>$F$11-I12</f>
        <v/>
      </c>
      <c r="J13" s="16">
        <f>$F$11-J12</f>
        <v/>
      </c>
      <c r="K13" s="16">
        <f>$F$11-K12</f>
        <v/>
      </c>
      <c r="L13" s="16">
        <f>$F$11-L12</f>
        <v/>
      </c>
      <c r="M13" s="16">
        <f>$F$11-M12</f>
        <v/>
      </c>
      <c r="N13" s="16">
        <f>$F$11-N12</f>
        <v/>
      </c>
      <c r="O13" s="16">
        <f>$F$11-O12</f>
        <v/>
      </c>
      <c r="P13" s="16">
        <f>$F$11-P12</f>
        <v/>
      </c>
      <c r="Q13" s="16">
        <f>$F$11-Q12</f>
        <v/>
      </c>
      <c r="R13" s="16">
        <f>$F$11-R12</f>
        <v/>
      </c>
      <c r="S13" s="24" t="n"/>
      <c r="T13" s="24" t="n"/>
      <c r="U13" s="24" t="n"/>
    </row>
    <row r="14" ht="20" customHeight="1">
      <c r="A14" s="23" t="inlineStr">
        <is>
          <t>% AVANÇO ACUMULADO NO CONTRATO:</t>
        </is>
      </c>
      <c r="B14" s="24" t="n"/>
      <c r="C14" s="24" t="n"/>
      <c r="D14" s="24" t="n"/>
      <c r="E14" s="24" t="n"/>
      <c r="F14" s="24" t="n"/>
      <c r="G14" s="19">
        <f>G12/$F$11</f>
        <v/>
      </c>
      <c r="H14" s="19">
        <f>H12/$F$11</f>
        <v/>
      </c>
      <c r="I14" s="19">
        <f>I12/$F$11</f>
        <v/>
      </c>
      <c r="J14" s="19">
        <f>J12/$F$11</f>
        <v/>
      </c>
      <c r="K14" s="19">
        <f>K12/$F$11</f>
        <v/>
      </c>
      <c r="L14" s="19">
        <f>L12/$F$11</f>
        <v/>
      </c>
      <c r="M14" s="19">
        <f>M12/$F$11</f>
        <v/>
      </c>
      <c r="N14" s="19">
        <f>N12/$F$11</f>
        <v/>
      </c>
      <c r="O14" s="19">
        <f>O12/$F$11</f>
        <v/>
      </c>
      <c r="P14" s="19">
        <f>P12/$F$11</f>
        <v/>
      </c>
      <c r="Q14" s="19">
        <f>Q12/$F$11</f>
        <v/>
      </c>
      <c r="R14" s="19">
        <f>R12/$F$11</f>
        <v/>
      </c>
      <c r="S14" s="24" t="n"/>
      <c r="T14" s="24" t="n"/>
      <c r="U14" s="24" t="n"/>
    </row>
    <row r="15" ht="20" customHeight="1">
      <c r="A15" s="23" t="inlineStr">
        <is>
          <t>(-) RETENÇÃO TÉCNICA DE GARANTIA (5,0%):</t>
        </is>
      </c>
      <c r="B15" s="24" t="n"/>
      <c r="C15" s="24" t="n"/>
      <c r="D15" s="24" t="n"/>
      <c r="E15" s="24" t="n"/>
      <c r="F15" s="24" t="n"/>
      <c r="G15" s="25">
        <f>G11*0.05</f>
        <v/>
      </c>
      <c r="H15" s="25">
        <f>H11*0.05</f>
        <v/>
      </c>
      <c r="I15" s="25">
        <f>I11*0.05</f>
        <v/>
      </c>
      <c r="J15" s="25">
        <f>J11*0.05</f>
        <v/>
      </c>
      <c r="K15" s="25">
        <f>K11*0.05</f>
        <v/>
      </c>
      <c r="L15" s="25">
        <f>L11*0.05</f>
        <v/>
      </c>
      <c r="M15" s="25">
        <f>M11*0.05</f>
        <v/>
      </c>
      <c r="N15" s="25">
        <f>N11*0.05</f>
        <v/>
      </c>
      <c r="O15" s="25">
        <f>O11*0.05</f>
        <v/>
      </c>
      <c r="P15" s="25">
        <f>P11*0.05</f>
        <v/>
      </c>
      <c r="Q15" s="25">
        <f>Q11*0.05</f>
        <v/>
      </c>
      <c r="R15" s="25">
        <f>R11*0.05</f>
        <v/>
      </c>
      <c r="S15" s="24" t="n"/>
      <c r="T15" s="24" t="n"/>
      <c r="U15" s="24" t="n"/>
    </row>
    <row r="16" ht="24" customHeight="1">
      <c r="A16" s="23" t="inlineStr">
        <is>
          <t>(=) VALOR LÍQUIDO A LIBERAR NA NF-e:</t>
        </is>
      </c>
      <c r="B16" s="24" t="n"/>
      <c r="C16" s="24" t="n"/>
      <c r="D16" s="24" t="n"/>
      <c r="E16" s="24" t="n"/>
      <c r="F16" s="24" t="n"/>
      <c r="G16" s="26">
        <f>G11-G15</f>
        <v/>
      </c>
      <c r="H16" s="26">
        <f>H11-H15</f>
        <v/>
      </c>
      <c r="I16" s="26">
        <f>I11-I15</f>
        <v/>
      </c>
      <c r="J16" s="26">
        <f>J11-J15</f>
        <v/>
      </c>
      <c r="K16" s="26">
        <f>K11-K15</f>
        <v/>
      </c>
      <c r="L16" s="26">
        <f>L11-L15</f>
        <v/>
      </c>
      <c r="M16" s="26">
        <f>M11-M15</f>
        <v/>
      </c>
      <c r="N16" s="26">
        <f>N11-N15</f>
        <v/>
      </c>
      <c r="O16" s="26">
        <f>O11-O15</f>
        <v/>
      </c>
      <c r="P16" s="26">
        <f>P11-P15</f>
        <v/>
      </c>
      <c r="Q16" s="26">
        <f>Q11-Q15</f>
        <v/>
      </c>
      <c r="R16" s="26">
        <f>R11-R15</f>
        <v/>
      </c>
      <c r="S16" s="24" t="n"/>
      <c r="T16" s="24" t="n"/>
      <c r="U16" s="24" t="n"/>
    </row>
  </sheetData>
  <mergeCells count="16">
    <mergeCell ref="A16:F16"/>
    <mergeCell ref="B4:B5"/>
    <mergeCell ref="A2:U2"/>
    <mergeCell ref="A13:F13"/>
    <mergeCell ref="C4:C5"/>
    <mergeCell ref="A4:A5"/>
    <mergeCell ref="F4:F5"/>
    <mergeCell ref="D4:D5"/>
    <mergeCell ref="E4:E5"/>
    <mergeCell ref="S4:U4"/>
    <mergeCell ref="A14:F14"/>
    <mergeCell ref="A11:E11"/>
    <mergeCell ref="A12:F12"/>
    <mergeCell ref="G4:R4"/>
    <mergeCell ref="A1:U1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16" customWidth="1" min="20" max="20"/>
    <col width="14" customWidth="1" min="21" max="21"/>
  </cols>
  <sheetData>
    <row r="1" ht="28" customHeight="1">
      <c r="A1" s="1" t="inlineStr">
        <is>
          <t>OBRA_NOVA — BOLETIM EVOLUTIVO DE MEDIÇÃO QUINZENAL: SUB-04 (EMPREITADA DE PISOS, CONTRAPISO E REVESTIMENTOS CERÂMICOS)</t>
        </is>
      </c>
    </row>
    <row r="2" ht="20" customHeight="1">
      <c r="A2" s="2" t="inlineStr">
        <is>
          <t>Empreiteiro: Empreiteira de Pisos e Acabamentos Ltda | Centro de Custo: CC-704 (Pisos e Pavimentações) | Vigência: Semanas S18 a S21 (30 dias corridos) | Retenção Técnica: 5,0% | Governança: POP 09 e POP 17</t>
        </is>
      </c>
    </row>
    <row r="4" ht="18" customHeight="1">
      <c r="A4" s="3" t="inlineStr">
        <is>
          <t>Código
EAP</t>
        </is>
      </c>
      <c r="B4" s="3" t="inlineStr">
        <is>
          <t>Descrição Pormenorizada do Serviço Contratado</t>
        </is>
      </c>
      <c r="C4" s="3" t="inlineStr">
        <is>
          <t>Unid</t>
        </is>
      </c>
      <c r="D4" s="3" t="inlineStr">
        <is>
          <t>Quantidade
Contratada</t>
        </is>
      </c>
      <c r="E4" s="3" t="inlineStr">
        <is>
          <t>Preço Unitário
(R$)</t>
        </is>
      </c>
      <c r="F4" s="3" t="inlineStr">
        <is>
          <t>Total Contrato
(R$)</t>
        </is>
      </c>
      <c r="G4" s="3" t="inlineStr">
        <is>
          <t>AVANÇO FÍSICO QUINZENAL DE PRODUÇÃO (12 MEDIÇÕES CONTRATUAIS - QTD MEDIDA)</t>
        </is>
      </c>
      <c r="S4" s="4" t="inlineStr">
        <is>
          <t>SALDOS E FECHAMENTO ACUMULADO</t>
        </is>
      </c>
    </row>
    <row r="5" ht="24" customHeight="1">
      <c r="G5" s="3" t="inlineStr">
        <is>
          <t>Medição 1
(Qtd)</t>
        </is>
      </c>
      <c r="H5" s="3" t="inlineStr">
        <is>
          <t>Medição 2
(Qtd)</t>
        </is>
      </c>
      <c r="I5" s="3" t="inlineStr">
        <is>
          <t>Medição 3
(Qtd)</t>
        </is>
      </c>
      <c r="J5" s="3" t="inlineStr">
        <is>
          <t>Medição 4
(Qtd)</t>
        </is>
      </c>
      <c r="K5" s="3" t="inlineStr">
        <is>
          <t>Medição 5
(Qtd)</t>
        </is>
      </c>
      <c r="L5" s="3" t="inlineStr">
        <is>
          <t>Medição 6
(Qtd)</t>
        </is>
      </c>
      <c r="M5" s="3" t="inlineStr">
        <is>
          <t>Medição 7
(Qtd)</t>
        </is>
      </c>
      <c r="N5" s="3" t="inlineStr">
        <is>
          <t>Medição 8
(Qtd)</t>
        </is>
      </c>
      <c r="O5" s="3" t="inlineStr">
        <is>
          <t>Medição 9
(Qtd)</t>
        </is>
      </c>
      <c r="P5" s="3" t="inlineStr">
        <is>
          <t>Medição 10
(Qtd)</t>
        </is>
      </c>
      <c r="Q5" s="3" t="inlineStr">
        <is>
          <t>Medição 11
(Qtd)</t>
        </is>
      </c>
      <c r="R5" s="3" t="inlineStr">
        <is>
          <t>Medição 12
(Qtd)</t>
        </is>
      </c>
      <c r="S5" s="4" t="inlineStr">
        <is>
          <t>Total Medido
Acumulado</t>
        </is>
      </c>
      <c r="T5" s="4" t="inlineStr">
        <is>
          <t>Saldo a Medir
(Quantidade)</t>
        </is>
      </c>
      <c r="U5" s="4" t="inlineStr">
        <is>
          <t>% Avanço
Físico</t>
        </is>
      </c>
    </row>
    <row r="6" ht="20" customHeight="1">
      <c r="A6" s="5" t="inlineStr">
        <is>
          <t>1.7.1</t>
        </is>
      </c>
      <c r="B6" s="6" t="inlineStr">
        <is>
          <t>Execução de contrapiso de regularização farofa e=3cm com impermeabilizante</t>
        </is>
      </c>
      <c r="C6" s="5" t="inlineStr">
        <is>
          <t>m²</t>
        </is>
      </c>
      <c r="D6" s="7" t="n">
        <v>368.4</v>
      </c>
      <c r="E6" s="8" t="n">
        <v>22</v>
      </c>
      <c r="F6" s="9">
        <f>D6*E6</f>
        <v/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10" t="n">
        <v>368.4</v>
      </c>
      <c r="P6" s="7" t="n">
        <v>0</v>
      </c>
      <c r="Q6" s="7" t="n">
        <v>0</v>
      </c>
      <c r="R6" s="7" t="n">
        <v>0</v>
      </c>
      <c r="S6" s="11">
        <f>SUM(G6:R6)</f>
        <v/>
      </c>
      <c r="T6" s="7">
        <f>D6-S6</f>
        <v/>
      </c>
      <c r="U6" s="12">
        <f>S6/D6</f>
        <v/>
      </c>
    </row>
    <row r="7" ht="20" customHeight="1">
      <c r="A7" s="13" t="inlineStr">
        <is>
          <t>1.7.2</t>
        </is>
      </c>
      <c r="B7" s="14" t="inlineStr">
        <is>
          <t>Assentamento de porcelanato retificado 60x60cm dupla colagem com AC-III</t>
        </is>
      </c>
      <c r="C7" s="13" t="inlineStr">
        <is>
          <t>m²</t>
        </is>
      </c>
      <c r="D7" s="15" t="n">
        <v>368.4</v>
      </c>
      <c r="E7" s="16" t="n">
        <v>48</v>
      </c>
      <c r="F7" s="17">
        <f>D7*E7</f>
        <v/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0" t="n">
        <v>368.4</v>
      </c>
      <c r="Q7" s="15" t="n">
        <v>0</v>
      </c>
      <c r="R7" s="15" t="n">
        <v>0</v>
      </c>
      <c r="S7" s="18">
        <f>SUM(G7:R7)</f>
        <v/>
      </c>
      <c r="T7" s="15">
        <f>D7-S7</f>
        <v/>
      </c>
      <c r="U7" s="19">
        <f>S7/D7</f>
        <v/>
      </c>
    </row>
    <row r="8" ht="20" customHeight="1">
      <c r="A8" s="5" t="inlineStr">
        <is>
          <t>1.7.3</t>
        </is>
      </c>
      <c r="B8" s="6" t="inlineStr">
        <is>
          <t>Instalação de rodapé em porcelanato h=10cm cortado com meia esquadria</t>
        </is>
      </c>
      <c r="C8" s="5" t="inlineStr">
        <is>
          <t>m</t>
        </is>
      </c>
      <c r="D8" s="7" t="n">
        <v>180</v>
      </c>
      <c r="E8" s="8" t="n">
        <v>15</v>
      </c>
      <c r="F8" s="9">
        <f>D8*E8</f>
        <v/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10" t="n">
        <v>180</v>
      </c>
      <c r="Q8" s="7" t="n">
        <v>0</v>
      </c>
      <c r="R8" s="7" t="n">
        <v>0</v>
      </c>
      <c r="S8" s="11">
        <f>SUM(G8:R8)</f>
        <v/>
      </c>
      <c r="T8" s="7">
        <f>D8-S8</f>
        <v/>
      </c>
      <c r="U8" s="12">
        <f>S8/D8</f>
        <v/>
      </c>
    </row>
    <row r="9" ht="20" customHeight="1">
      <c r="A9" s="13" t="inlineStr">
        <is>
          <t>1.7.4</t>
        </is>
      </c>
      <c r="B9" s="14" t="inlineStr">
        <is>
          <t>Aplicação de rejunte flexível resinado e epóxi anti-fungo em áreas molhadas</t>
        </is>
      </c>
      <c r="C9" s="13" t="inlineStr">
        <is>
          <t>m²</t>
        </is>
      </c>
      <c r="D9" s="15" t="n">
        <v>368.4</v>
      </c>
      <c r="E9" s="16" t="n">
        <v>8</v>
      </c>
      <c r="F9" s="17">
        <f>D9*E9</f>
        <v/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0" t="n">
        <v>368.4</v>
      </c>
      <c r="Q9" s="15" t="n">
        <v>0</v>
      </c>
      <c r="R9" s="15" t="n">
        <v>0</v>
      </c>
      <c r="S9" s="18">
        <f>SUM(G9:R9)</f>
        <v/>
      </c>
      <c r="T9" s="15">
        <f>D9-S9</f>
        <v/>
      </c>
      <c r="U9" s="19">
        <f>S9/D9</f>
        <v/>
      </c>
    </row>
    <row r="10" ht="20" customHeight="1">
      <c r="A10" s="5" t="inlineStr">
        <is>
          <t>1.7.5</t>
        </is>
      </c>
      <c r="B10" s="6" t="inlineStr">
        <is>
          <t>Proteção superficial de pisos com papelão ondulado e fita crepe</t>
        </is>
      </c>
      <c r="C10" s="5" t="inlineStr">
        <is>
          <t>vb</t>
        </is>
      </c>
      <c r="D10" s="7" t="n">
        <v>1</v>
      </c>
      <c r="E10" s="8" t="n">
        <v>5364.8</v>
      </c>
      <c r="F10" s="9">
        <f>D10*E10</f>
        <v/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10" t="n">
        <v>1</v>
      </c>
      <c r="Q10" s="7" t="n">
        <v>0</v>
      </c>
      <c r="R10" s="7" t="n">
        <v>0</v>
      </c>
      <c r="S10" s="11">
        <f>SUM(G10:R10)</f>
        <v/>
      </c>
      <c r="T10" s="7">
        <f>D10-S10</f>
        <v/>
      </c>
      <c r="U10" s="12">
        <f>S10/D10</f>
        <v/>
      </c>
    </row>
    <row r="11" ht="24" customHeight="1">
      <c r="A11" s="20" t="inlineStr">
        <is>
          <t>TOTAL BRUTO MEDIDO NO PERÍODO (R$):</t>
        </is>
      </c>
      <c r="F11" s="21">
        <f>SUM(F6:F10)</f>
        <v/>
      </c>
      <c r="G11" s="21">
        <f>SUMPRODUCT($E$6:$E$10,G$6:G$10)</f>
        <v/>
      </c>
      <c r="H11" s="21">
        <f>SUMPRODUCT($E$6:$E$10,H$6:H$10)</f>
        <v/>
      </c>
      <c r="I11" s="21">
        <f>SUMPRODUCT($E$6:$E$10,I$6:I$10)</f>
        <v/>
      </c>
      <c r="J11" s="21">
        <f>SUMPRODUCT($E$6:$E$10,J$6:J$10)</f>
        <v/>
      </c>
      <c r="K11" s="21">
        <f>SUMPRODUCT($E$6:$E$10,K$6:K$10)</f>
        <v/>
      </c>
      <c r="L11" s="21">
        <f>SUMPRODUCT($E$6:$E$10,L$6:L$10)</f>
        <v/>
      </c>
      <c r="M11" s="21">
        <f>SUMPRODUCT($E$6:$E$10,M$6:M$10)</f>
        <v/>
      </c>
      <c r="N11" s="21">
        <f>SUMPRODUCT($E$6:$E$10,N$6:N$10)</f>
        <v/>
      </c>
      <c r="O11" s="21">
        <f>SUMPRODUCT($E$6:$E$10,O$6:O$10)</f>
        <v/>
      </c>
      <c r="P11" s="21">
        <f>SUMPRODUCT($E$6:$E$10,P$6:P$10)</f>
        <v/>
      </c>
      <c r="Q11" s="21">
        <f>SUMPRODUCT($E$6:$E$10,Q$6:Q$10)</f>
        <v/>
      </c>
      <c r="R11" s="21">
        <f>SUMPRODUCT($E$6:$E$10,R$6:R$10)</f>
        <v/>
      </c>
      <c r="S11" s="21">
        <f>SUM(G11:R11)</f>
        <v/>
      </c>
      <c r="T11" s="21">
        <f>F11-S11</f>
        <v/>
      </c>
      <c r="U11" s="22">
        <f>S11/F11</f>
        <v/>
      </c>
    </row>
    <row r="12" ht="20" customHeight="1">
      <c r="A12" s="23" t="inlineStr">
        <is>
          <t>TOTAL ACUMULADO ATÉ A MEDIÇÃO (R$):</t>
        </is>
      </c>
      <c r="B12" s="24" t="n"/>
      <c r="C12" s="24" t="n"/>
      <c r="D12" s="24" t="n"/>
      <c r="E12" s="24" t="n"/>
      <c r="F12" s="24" t="n"/>
      <c r="G12" s="17">
        <f>SUM(G$11:G$11)</f>
        <v/>
      </c>
      <c r="H12" s="17">
        <f>SUM(G$11:H$11)</f>
        <v/>
      </c>
      <c r="I12" s="17">
        <f>SUM(G$11:I$11)</f>
        <v/>
      </c>
      <c r="J12" s="17">
        <f>SUM(G$11:J$11)</f>
        <v/>
      </c>
      <c r="K12" s="17">
        <f>SUM(G$11:K$11)</f>
        <v/>
      </c>
      <c r="L12" s="17">
        <f>SUM(G$11:L$11)</f>
        <v/>
      </c>
      <c r="M12" s="17">
        <f>SUM(G$11:M$11)</f>
        <v/>
      </c>
      <c r="N12" s="17">
        <f>SUM(G$11:N$11)</f>
        <v/>
      </c>
      <c r="O12" s="17">
        <f>SUM(G$11:O$11)</f>
        <v/>
      </c>
      <c r="P12" s="17">
        <f>SUM(G$11:P$11)</f>
        <v/>
      </c>
      <c r="Q12" s="17">
        <f>SUM(G$11:Q$11)</f>
        <v/>
      </c>
      <c r="R12" s="17">
        <f>SUM(G$11:R$11)</f>
        <v/>
      </c>
      <c r="S12" s="24" t="n"/>
      <c r="T12" s="24" t="n"/>
      <c r="U12" s="24" t="n"/>
    </row>
    <row r="13" ht="20" customHeight="1">
      <c r="A13" s="23" t="inlineStr">
        <is>
          <t>SALDO DO CONTRATO APÓS MEDIÇÃO (R$):</t>
        </is>
      </c>
      <c r="B13" s="24" t="n"/>
      <c r="C13" s="24" t="n"/>
      <c r="D13" s="24" t="n"/>
      <c r="E13" s="24" t="n"/>
      <c r="F13" s="24" t="n"/>
      <c r="G13" s="16">
        <f>$F$11-G12</f>
        <v/>
      </c>
      <c r="H13" s="16">
        <f>$F$11-H12</f>
        <v/>
      </c>
      <c r="I13" s="16">
        <f>$F$11-I12</f>
        <v/>
      </c>
      <c r="J13" s="16">
        <f>$F$11-J12</f>
        <v/>
      </c>
      <c r="K13" s="16">
        <f>$F$11-K12</f>
        <v/>
      </c>
      <c r="L13" s="16">
        <f>$F$11-L12</f>
        <v/>
      </c>
      <c r="M13" s="16">
        <f>$F$11-M12</f>
        <v/>
      </c>
      <c r="N13" s="16">
        <f>$F$11-N12</f>
        <v/>
      </c>
      <c r="O13" s="16">
        <f>$F$11-O12</f>
        <v/>
      </c>
      <c r="P13" s="16">
        <f>$F$11-P12</f>
        <v/>
      </c>
      <c r="Q13" s="16">
        <f>$F$11-Q12</f>
        <v/>
      </c>
      <c r="R13" s="16">
        <f>$F$11-R12</f>
        <v/>
      </c>
      <c r="S13" s="24" t="n"/>
      <c r="T13" s="24" t="n"/>
      <c r="U13" s="24" t="n"/>
    </row>
    <row r="14" ht="20" customHeight="1">
      <c r="A14" s="23" t="inlineStr">
        <is>
          <t>% AVANÇO ACUMULADO NO CONTRATO:</t>
        </is>
      </c>
      <c r="B14" s="24" t="n"/>
      <c r="C14" s="24" t="n"/>
      <c r="D14" s="24" t="n"/>
      <c r="E14" s="24" t="n"/>
      <c r="F14" s="24" t="n"/>
      <c r="G14" s="19">
        <f>G12/$F$11</f>
        <v/>
      </c>
      <c r="H14" s="19">
        <f>H12/$F$11</f>
        <v/>
      </c>
      <c r="I14" s="19">
        <f>I12/$F$11</f>
        <v/>
      </c>
      <c r="J14" s="19">
        <f>J12/$F$11</f>
        <v/>
      </c>
      <c r="K14" s="19">
        <f>K12/$F$11</f>
        <v/>
      </c>
      <c r="L14" s="19">
        <f>L12/$F$11</f>
        <v/>
      </c>
      <c r="M14" s="19">
        <f>M12/$F$11</f>
        <v/>
      </c>
      <c r="N14" s="19">
        <f>N12/$F$11</f>
        <v/>
      </c>
      <c r="O14" s="19">
        <f>O12/$F$11</f>
        <v/>
      </c>
      <c r="P14" s="19">
        <f>P12/$F$11</f>
        <v/>
      </c>
      <c r="Q14" s="19">
        <f>Q12/$F$11</f>
        <v/>
      </c>
      <c r="R14" s="19">
        <f>R12/$F$11</f>
        <v/>
      </c>
      <c r="S14" s="24" t="n"/>
      <c r="T14" s="24" t="n"/>
      <c r="U14" s="24" t="n"/>
    </row>
    <row r="15" ht="20" customHeight="1">
      <c r="A15" s="23" t="inlineStr">
        <is>
          <t>(-) RETENÇÃO TÉCNICA DE GARANTIA (5,0%):</t>
        </is>
      </c>
      <c r="B15" s="24" t="n"/>
      <c r="C15" s="24" t="n"/>
      <c r="D15" s="24" t="n"/>
      <c r="E15" s="24" t="n"/>
      <c r="F15" s="24" t="n"/>
      <c r="G15" s="25">
        <f>G11*0.05</f>
        <v/>
      </c>
      <c r="H15" s="25">
        <f>H11*0.05</f>
        <v/>
      </c>
      <c r="I15" s="25">
        <f>I11*0.05</f>
        <v/>
      </c>
      <c r="J15" s="25">
        <f>J11*0.05</f>
        <v/>
      </c>
      <c r="K15" s="25">
        <f>K11*0.05</f>
        <v/>
      </c>
      <c r="L15" s="25">
        <f>L11*0.05</f>
        <v/>
      </c>
      <c r="M15" s="25">
        <f>M11*0.05</f>
        <v/>
      </c>
      <c r="N15" s="25">
        <f>N11*0.05</f>
        <v/>
      </c>
      <c r="O15" s="25">
        <f>O11*0.05</f>
        <v/>
      </c>
      <c r="P15" s="25">
        <f>P11*0.05</f>
        <v/>
      </c>
      <c r="Q15" s="25">
        <f>Q11*0.05</f>
        <v/>
      </c>
      <c r="R15" s="25">
        <f>R11*0.05</f>
        <v/>
      </c>
      <c r="S15" s="24" t="n"/>
      <c r="T15" s="24" t="n"/>
      <c r="U15" s="24" t="n"/>
    </row>
    <row r="16" ht="24" customHeight="1">
      <c r="A16" s="23" t="inlineStr">
        <is>
          <t>(=) VALOR LÍQUIDO A LIBERAR NA NF-e:</t>
        </is>
      </c>
      <c r="B16" s="24" t="n"/>
      <c r="C16" s="24" t="n"/>
      <c r="D16" s="24" t="n"/>
      <c r="E16" s="24" t="n"/>
      <c r="F16" s="24" t="n"/>
      <c r="G16" s="26">
        <f>G11-G15</f>
        <v/>
      </c>
      <c r="H16" s="26">
        <f>H11-H15</f>
        <v/>
      </c>
      <c r="I16" s="26">
        <f>I11-I15</f>
        <v/>
      </c>
      <c r="J16" s="26">
        <f>J11-J15</f>
        <v/>
      </c>
      <c r="K16" s="26">
        <f>K11-K15</f>
        <v/>
      </c>
      <c r="L16" s="26">
        <f>L11-L15</f>
        <v/>
      </c>
      <c r="M16" s="26">
        <f>M11-M15</f>
        <v/>
      </c>
      <c r="N16" s="26">
        <f>N11-N15</f>
        <v/>
      </c>
      <c r="O16" s="26">
        <f>O11-O15</f>
        <v/>
      </c>
      <c r="P16" s="26">
        <f>P11-P15</f>
        <v/>
      </c>
      <c r="Q16" s="26">
        <f>Q11-Q15</f>
        <v/>
      </c>
      <c r="R16" s="26">
        <f>R11-R15</f>
        <v/>
      </c>
      <c r="S16" s="24" t="n"/>
      <c r="T16" s="24" t="n"/>
      <c r="U16" s="24" t="n"/>
    </row>
  </sheetData>
  <mergeCells count="16">
    <mergeCell ref="A16:F16"/>
    <mergeCell ref="B4:B5"/>
    <mergeCell ref="A2:U2"/>
    <mergeCell ref="A13:F13"/>
    <mergeCell ref="C4:C5"/>
    <mergeCell ref="A4:A5"/>
    <mergeCell ref="F4:F5"/>
    <mergeCell ref="D4:D5"/>
    <mergeCell ref="E4:E5"/>
    <mergeCell ref="S4:U4"/>
    <mergeCell ref="A14:F14"/>
    <mergeCell ref="A11:E11"/>
    <mergeCell ref="A12:F12"/>
    <mergeCell ref="G4:R4"/>
    <mergeCell ref="A1:U1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16" customWidth="1" min="20" max="20"/>
    <col width="14" customWidth="1" min="21" max="21"/>
  </cols>
  <sheetData>
    <row r="1" ht="28" customHeight="1">
      <c r="A1" s="1" t="inlineStr">
        <is>
          <t>OBRA_NOVA — BOLETIM EVOLUTIVO DE MEDIÇÃO QUINZENAL: SUB-05 (EMPREITADA DE INSTALAÇÕES ELÉTRICAS, CABEAMENTO E TELECOM)</t>
        </is>
      </c>
    </row>
    <row r="2" ht="20" customHeight="1">
      <c r="A2" s="2" t="inlineStr">
        <is>
          <t>Empreiteiro: Empreiteira de Engenharia Elétrica Ltda | Centro de Custo: CC-604 / CC-605 / CC-606 | Vigência: Semanas S12 a S21 (60 dias corridos) | Retenção Técnica: 5,0% | Governança: POP 09 e POP 17</t>
        </is>
      </c>
    </row>
    <row r="4" ht="18" customHeight="1">
      <c r="A4" s="3" t="inlineStr">
        <is>
          <t>Código
EAP</t>
        </is>
      </c>
      <c r="B4" s="3" t="inlineStr">
        <is>
          <t>Descrição Pormenorizada do Serviço Contratado</t>
        </is>
      </c>
      <c r="C4" s="3" t="inlineStr">
        <is>
          <t>Unid</t>
        </is>
      </c>
      <c r="D4" s="3" t="inlineStr">
        <is>
          <t>Quantidade
Contratada</t>
        </is>
      </c>
      <c r="E4" s="3" t="inlineStr">
        <is>
          <t>Preço Unitário
(R$)</t>
        </is>
      </c>
      <c r="F4" s="3" t="inlineStr">
        <is>
          <t>Total Contrato
(R$)</t>
        </is>
      </c>
      <c r="G4" s="3" t="inlineStr">
        <is>
          <t>AVANÇO FÍSICO QUINZENAL DE PRODUÇÃO (12 MEDIÇÕES CONTRATUAIS - QTD MEDIDA)</t>
        </is>
      </c>
      <c r="S4" s="4" t="inlineStr">
        <is>
          <t>SALDOS E FECHAMENTO ACUMULADO</t>
        </is>
      </c>
    </row>
    <row r="5" ht="24" customHeight="1">
      <c r="G5" s="3" t="inlineStr">
        <is>
          <t>Medição 1
(Qtd)</t>
        </is>
      </c>
      <c r="H5" s="3" t="inlineStr">
        <is>
          <t>Medição 2
(Qtd)</t>
        </is>
      </c>
      <c r="I5" s="3" t="inlineStr">
        <is>
          <t>Medição 3
(Qtd)</t>
        </is>
      </c>
      <c r="J5" s="3" t="inlineStr">
        <is>
          <t>Medição 4
(Qtd)</t>
        </is>
      </c>
      <c r="K5" s="3" t="inlineStr">
        <is>
          <t>Medição 5
(Qtd)</t>
        </is>
      </c>
      <c r="L5" s="3" t="inlineStr">
        <is>
          <t>Medição 6
(Qtd)</t>
        </is>
      </c>
      <c r="M5" s="3" t="inlineStr">
        <is>
          <t>Medição 7
(Qtd)</t>
        </is>
      </c>
      <c r="N5" s="3" t="inlineStr">
        <is>
          <t>Medição 8
(Qtd)</t>
        </is>
      </c>
      <c r="O5" s="3" t="inlineStr">
        <is>
          <t>Medição 9
(Qtd)</t>
        </is>
      </c>
      <c r="P5" s="3" t="inlineStr">
        <is>
          <t>Medição 10
(Qtd)</t>
        </is>
      </c>
      <c r="Q5" s="3" t="inlineStr">
        <is>
          <t>Medição 11
(Qtd)</t>
        </is>
      </c>
      <c r="R5" s="3" t="inlineStr">
        <is>
          <t>Medição 12
(Qtd)</t>
        </is>
      </c>
      <c r="S5" s="4" t="inlineStr">
        <is>
          <t>Total Medido
Acumulado</t>
        </is>
      </c>
      <c r="T5" s="4" t="inlineStr">
        <is>
          <t>Saldo a Medir
(Quantidade)</t>
        </is>
      </c>
      <c r="U5" s="4" t="inlineStr">
        <is>
          <t>% Avanço
Físico</t>
        </is>
      </c>
    </row>
    <row r="6" ht="20" customHeight="1">
      <c r="A6" s="5" t="inlineStr">
        <is>
          <t>2.2.1</t>
        </is>
      </c>
      <c r="B6" s="6" t="inlineStr">
        <is>
          <t>Chumbamento de caixas 4x2 e eletrodutos de PVC rígido roscável embutidos</t>
        </is>
      </c>
      <c r="C6" s="5" t="inlineStr">
        <is>
          <t>m</t>
        </is>
      </c>
      <c r="D6" s="7" t="n">
        <v>650</v>
      </c>
      <c r="E6" s="8" t="n">
        <v>12</v>
      </c>
      <c r="F6" s="9">
        <f>D6*E6</f>
        <v/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10" t="n">
        <v>325</v>
      </c>
      <c r="M6" s="10" t="n">
        <v>325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11">
        <f>SUM(G6:R6)</f>
        <v/>
      </c>
      <c r="T6" s="7">
        <f>D6-S6</f>
        <v/>
      </c>
      <c r="U6" s="12">
        <f>S6/D6</f>
        <v/>
      </c>
    </row>
    <row r="7" ht="20" customHeight="1">
      <c r="A7" s="13" t="inlineStr">
        <is>
          <t>2.2.3</t>
        </is>
      </c>
      <c r="B7" s="14" t="inlineStr">
        <is>
          <t>Enfiamento e puxamento de condutores de cobre flexível 750V de 1,5 a 50 mm²</t>
        </is>
      </c>
      <c r="C7" s="13" t="inlineStr">
        <is>
          <t>m</t>
        </is>
      </c>
      <c r="D7" s="15" t="n">
        <v>3800</v>
      </c>
      <c r="E7" s="16" t="n">
        <v>4.5</v>
      </c>
      <c r="F7" s="17">
        <f>D7*E7</f>
        <v/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0" t="n">
        <v>1900</v>
      </c>
      <c r="N7" s="10" t="n">
        <v>1900</v>
      </c>
      <c r="O7" s="15" t="n">
        <v>0</v>
      </c>
      <c r="P7" s="15" t="n">
        <v>0</v>
      </c>
      <c r="Q7" s="15" t="n">
        <v>0</v>
      </c>
      <c r="R7" s="15" t="n">
        <v>0</v>
      </c>
      <c r="S7" s="18">
        <f>SUM(G7:R7)</f>
        <v/>
      </c>
      <c r="T7" s="15">
        <f>D7-S7</f>
        <v/>
      </c>
      <c r="U7" s="19">
        <f>S7/D7</f>
        <v/>
      </c>
    </row>
    <row r="8" ht="20" customHeight="1">
      <c r="A8" s="5" t="inlineStr">
        <is>
          <t>2.2.5</t>
        </is>
      </c>
      <c r="B8" s="6" t="inlineStr">
        <is>
          <t>Montagem, barramentos de cobre e fiação interna dos quadros QDG e QDF</t>
        </is>
      </c>
      <c r="C8" s="5" t="inlineStr">
        <is>
          <t>cj</t>
        </is>
      </c>
      <c r="D8" s="7" t="n">
        <v>2</v>
      </c>
      <c r="E8" s="8" t="n">
        <v>3200</v>
      </c>
      <c r="F8" s="9">
        <f>D8*E8</f>
        <v/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10" t="n">
        <v>1</v>
      </c>
      <c r="O8" s="10" t="n">
        <v>1</v>
      </c>
      <c r="P8" s="7" t="n">
        <v>0</v>
      </c>
      <c r="Q8" s="7" t="n">
        <v>0</v>
      </c>
      <c r="R8" s="7" t="n">
        <v>0</v>
      </c>
      <c r="S8" s="11">
        <f>SUM(G8:R8)</f>
        <v/>
      </c>
      <c r="T8" s="7">
        <f>D8-S8</f>
        <v/>
      </c>
      <c r="U8" s="12">
        <f>S8/D8</f>
        <v/>
      </c>
    </row>
    <row r="9" ht="20" customHeight="1">
      <c r="A9" s="13" t="inlineStr">
        <is>
          <t>2.2.6</t>
        </is>
      </c>
      <c r="B9" s="14" t="inlineStr">
        <is>
          <t>Instalação de 85 conjuntos de interruptores, tomadas 10A/20A e tampas 4x2</t>
        </is>
      </c>
      <c r="C9" s="13" t="inlineStr">
        <is>
          <t>un</t>
        </is>
      </c>
      <c r="D9" s="15" t="n">
        <v>85</v>
      </c>
      <c r="E9" s="16" t="n">
        <v>25</v>
      </c>
      <c r="F9" s="17">
        <f>D9*E9</f>
        <v/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0" t="n">
        <v>42</v>
      </c>
      <c r="P9" s="10" t="n">
        <v>43</v>
      </c>
      <c r="Q9" s="15" t="n">
        <v>0</v>
      </c>
      <c r="R9" s="15" t="n">
        <v>0</v>
      </c>
      <c r="S9" s="18">
        <f>SUM(G9:R9)</f>
        <v/>
      </c>
      <c r="T9" s="15">
        <f>D9-S9</f>
        <v/>
      </c>
      <c r="U9" s="19">
        <f>S9/D9</f>
        <v/>
      </c>
    </row>
    <row r="10" ht="20" customHeight="1">
      <c r="A10" s="5" t="inlineStr">
        <is>
          <t>2.2.7</t>
        </is>
      </c>
      <c r="B10" s="6" t="inlineStr">
        <is>
          <t>Instalação de 48 luminárias de embutir LED 60x60cm e spots decorativos</t>
        </is>
      </c>
      <c r="C10" s="5" t="inlineStr">
        <is>
          <t>un</t>
        </is>
      </c>
      <c r="D10" s="7" t="n">
        <v>48</v>
      </c>
      <c r="E10" s="8" t="n">
        <v>35</v>
      </c>
      <c r="F10" s="9">
        <f>D10*E10</f>
        <v/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10" t="n">
        <v>24</v>
      </c>
      <c r="P10" s="10" t="n">
        <v>24</v>
      </c>
      <c r="Q10" s="7" t="n">
        <v>0</v>
      </c>
      <c r="R10" s="7" t="n">
        <v>0</v>
      </c>
      <c r="S10" s="11">
        <f>SUM(G10:R10)</f>
        <v/>
      </c>
      <c r="T10" s="7">
        <f>D10-S10</f>
        <v/>
      </c>
      <c r="U10" s="12">
        <f>S10/D10</f>
        <v/>
      </c>
    </row>
    <row r="11" ht="20" customHeight="1">
      <c r="A11" s="13" t="inlineStr">
        <is>
          <t>2.2.8</t>
        </is>
      </c>
      <c r="B11" s="14" t="inlineStr">
        <is>
          <t>Passagem e conectorização RJ-45 de rede de dados e telecom Cat6 (Rack 12U)</t>
        </is>
      </c>
      <c r="C11" s="13" t="inlineStr">
        <is>
          <t>pt</t>
        </is>
      </c>
      <c r="D11" s="15" t="n">
        <v>32</v>
      </c>
      <c r="E11" s="16" t="n">
        <v>45</v>
      </c>
      <c r="F11" s="17">
        <f>D11*E11</f>
        <v/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0" t="n">
        <v>16</v>
      </c>
      <c r="P11" s="10" t="n">
        <v>16</v>
      </c>
      <c r="Q11" s="15" t="n">
        <v>0</v>
      </c>
      <c r="R11" s="15" t="n">
        <v>0</v>
      </c>
      <c r="S11" s="18">
        <f>SUM(G11:R11)</f>
        <v/>
      </c>
      <c r="T11" s="15">
        <f>D11-S11</f>
        <v/>
      </c>
      <c r="U11" s="19">
        <f>S11/D11</f>
        <v/>
      </c>
    </row>
    <row r="12" ht="20" customHeight="1">
      <c r="A12" s="5" t="inlineStr">
        <is>
          <t>2.2.9</t>
        </is>
      </c>
      <c r="B12" s="6" t="inlineStr">
        <is>
          <t>Mão de obra de testes, ensaios de isolamento, etiquetagem e ART elétrica</t>
        </is>
      </c>
      <c r="C12" s="5" t="inlineStr">
        <is>
          <t>vb</t>
        </is>
      </c>
      <c r="D12" s="7" t="n">
        <v>1</v>
      </c>
      <c r="E12" s="8" t="n">
        <v>11655</v>
      </c>
      <c r="F12" s="9">
        <f>D12*E12</f>
        <v/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10" t="n">
        <v>0.2</v>
      </c>
      <c r="N12" s="10" t="n">
        <v>0.3</v>
      </c>
      <c r="O12" s="10" t="n">
        <v>0.25</v>
      </c>
      <c r="P12" s="10" t="n">
        <v>0.25</v>
      </c>
      <c r="Q12" s="7" t="n">
        <v>0</v>
      </c>
      <c r="R12" s="7" t="n">
        <v>0</v>
      </c>
      <c r="S12" s="11">
        <f>SUM(G12:R12)</f>
        <v/>
      </c>
      <c r="T12" s="7">
        <f>D12-S12</f>
        <v/>
      </c>
      <c r="U12" s="12">
        <f>S12/D12</f>
        <v/>
      </c>
    </row>
    <row r="13" ht="24" customHeight="1">
      <c r="A13" s="20" t="inlineStr">
        <is>
          <t>TOTAL BRUTO MEDIDO NO PERÍODO (R$):</t>
        </is>
      </c>
      <c r="F13" s="21">
        <f>SUM(F6:F12)</f>
        <v/>
      </c>
      <c r="G13" s="21">
        <f>SUMPRODUCT($E$6:$E$12,G$6:G$12)</f>
        <v/>
      </c>
      <c r="H13" s="21">
        <f>SUMPRODUCT($E$6:$E$12,H$6:H$12)</f>
        <v/>
      </c>
      <c r="I13" s="21">
        <f>SUMPRODUCT($E$6:$E$12,I$6:I$12)</f>
        <v/>
      </c>
      <c r="J13" s="21">
        <f>SUMPRODUCT($E$6:$E$12,J$6:J$12)</f>
        <v/>
      </c>
      <c r="K13" s="21">
        <f>SUMPRODUCT($E$6:$E$12,K$6:K$12)</f>
        <v/>
      </c>
      <c r="L13" s="21">
        <f>SUMPRODUCT($E$6:$E$12,L$6:L$12)</f>
        <v/>
      </c>
      <c r="M13" s="21">
        <f>SUMPRODUCT($E$6:$E$12,M$6:M$12)</f>
        <v/>
      </c>
      <c r="N13" s="21">
        <f>SUMPRODUCT($E$6:$E$12,N$6:N$12)</f>
        <v/>
      </c>
      <c r="O13" s="21">
        <f>SUMPRODUCT($E$6:$E$12,O$6:O$12)</f>
        <v/>
      </c>
      <c r="P13" s="21">
        <f>SUMPRODUCT($E$6:$E$12,P$6:P$12)</f>
        <v/>
      </c>
      <c r="Q13" s="21">
        <f>SUMPRODUCT($E$6:$E$12,Q$6:Q$12)</f>
        <v/>
      </c>
      <c r="R13" s="21">
        <f>SUMPRODUCT($E$6:$E$12,R$6:R$12)</f>
        <v/>
      </c>
      <c r="S13" s="21">
        <f>SUM(G13:R13)</f>
        <v/>
      </c>
      <c r="T13" s="21">
        <f>F13-S13</f>
        <v/>
      </c>
      <c r="U13" s="22">
        <f>S13/F13</f>
        <v/>
      </c>
    </row>
    <row r="14" ht="20" customHeight="1">
      <c r="A14" s="23" t="inlineStr">
        <is>
          <t>TOTAL ACUMULADO ATÉ A MEDIÇÃO (R$):</t>
        </is>
      </c>
      <c r="B14" s="24" t="n"/>
      <c r="C14" s="24" t="n"/>
      <c r="D14" s="24" t="n"/>
      <c r="E14" s="24" t="n"/>
      <c r="F14" s="24" t="n"/>
      <c r="G14" s="17">
        <f>SUM(G$13:G$13)</f>
        <v/>
      </c>
      <c r="H14" s="17">
        <f>SUM(G$13:H$13)</f>
        <v/>
      </c>
      <c r="I14" s="17">
        <f>SUM(G$13:I$13)</f>
        <v/>
      </c>
      <c r="J14" s="17">
        <f>SUM(G$13:J$13)</f>
        <v/>
      </c>
      <c r="K14" s="17">
        <f>SUM(G$13:K$13)</f>
        <v/>
      </c>
      <c r="L14" s="17">
        <f>SUM(G$13:L$13)</f>
        <v/>
      </c>
      <c r="M14" s="17">
        <f>SUM(G$13:M$13)</f>
        <v/>
      </c>
      <c r="N14" s="17">
        <f>SUM(G$13:N$13)</f>
        <v/>
      </c>
      <c r="O14" s="17">
        <f>SUM(G$13:O$13)</f>
        <v/>
      </c>
      <c r="P14" s="17">
        <f>SUM(G$13:P$13)</f>
        <v/>
      </c>
      <c r="Q14" s="17">
        <f>SUM(G$13:Q$13)</f>
        <v/>
      </c>
      <c r="R14" s="17">
        <f>SUM(G$13:R$13)</f>
        <v/>
      </c>
      <c r="S14" s="24" t="n"/>
      <c r="T14" s="24" t="n"/>
      <c r="U14" s="24" t="n"/>
    </row>
    <row r="15" ht="20" customHeight="1">
      <c r="A15" s="23" t="inlineStr">
        <is>
          <t>SALDO DO CONTRATO APÓS MEDIÇÃO (R$):</t>
        </is>
      </c>
      <c r="B15" s="24" t="n"/>
      <c r="C15" s="24" t="n"/>
      <c r="D15" s="24" t="n"/>
      <c r="E15" s="24" t="n"/>
      <c r="F15" s="24" t="n"/>
      <c r="G15" s="16">
        <f>$F$13-G14</f>
        <v/>
      </c>
      <c r="H15" s="16">
        <f>$F$13-H14</f>
        <v/>
      </c>
      <c r="I15" s="16">
        <f>$F$13-I14</f>
        <v/>
      </c>
      <c r="J15" s="16">
        <f>$F$13-J14</f>
        <v/>
      </c>
      <c r="K15" s="16">
        <f>$F$13-K14</f>
        <v/>
      </c>
      <c r="L15" s="16">
        <f>$F$13-L14</f>
        <v/>
      </c>
      <c r="M15" s="16">
        <f>$F$13-M14</f>
        <v/>
      </c>
      <c r="N15" s="16">
        <f>$F$13-N14</f>
        <v/>
      </c>
      <c r="O15" s="16">
        <f>$F$13-O14</f>
        <v/>
      </c>
      <c r="P15" s="16">
        <f>$F$13-P14</f>
        <v/>
      </c>
      <c r="Q15" s="16">
        <f>$F$13-Q14</f>
        <v/>
      </c>
      <c r="R15" s="16">
        <f>$F$13-R14</f>
        <v/>
      </c>
      <c r="S15" s="24" t="n"/>
      <c r="T15" s="24" t="n"/>
      <c r="U15" s="24" t="n"/>
    </row>
    <row r="16" ht="20" customHeight="1">
      <c r="A16" s="23" t="inlineStr">
        <is>
          <t>% AVANÇO ACUMULADO NO CONTRATO:</t>
        </is>
      </c>
      <c r="B16" s="24" t="n"/>
      <c r="C16" s="24" t="n"/>
      <c r="D16" s="24" t="n"/>
      <c r="E16" s="24" t="n"/>
      <c r="F16" s="24" t="n"/>
      <c r="G16" s="19">
        <f>G14/$F$13</f>
        <v/>
      </c>
      <c r="H16" s="19">
        <f>H14/$F$13</f>
        <v/>
      </c>
      <c r="I16" s="19">
        <f>I14/$F$13</f>
        <v/>
      </c>
      <c r="J16" s="19">
        <f>J14/$F$13</f>
        <v/>
      </c>
      <c r="K16" s="19">
        <f>K14/$F$13</f>
        <v/>
      </c>
      <c r="L16" s="19">
        <f>L14/$F$13</f>
        <v/>
      </c>
      <c r="M16" s="19">
        <f>M14/$F$13</f>
        <v/>
      </c>
      <c r="N16" s="19">
        <f>N14/$F$13</f>
        <v/>
      </c>
      <c r="O16" s="19">
        <f>O14/$F$13</f>
        <v/>
      </c>
      <c r="P16" s="19">
        <f>P14/$F$13</f>
        <v/>
      </c>
      <c r="Q16" s="19">
        <f>Q14/$F$13</f>
        <v/>
      </c>
      <c r="R16" s="19">
        <f>R14/$F$13</f>
        <v/>
      </c>
      <c r="S16" s="24" t="n"/>
      <c r="T16" s="24" t="n"/>
      <c r="U16" s="24" t="n"/>
    </row>
    <row r="17" ht="20" customHeight="1">
      <c r="A17" s="23" t="inlineStr">
        <is>
          <t>(-) RETENÇÃO TÉCNICA DE GARANTIA (5,0%):</t>
        </is>
      </c>
      <c r="B17" s="24" t="n"/>
      <c r="C17" s="24" t="n"/>
      <c r="D17" s="24" t="n"/>
      <c r="E17" s="24" t="n"/>
      <c r="F17" s="24" t="n"/>
      <c r="G17" s="25">
        <f>G13*0.05</f>
        <v/>
      </c>
      <c r="H17" s="25">
        <f>H13*0.05</f>
        <v/>
      </c>
      <c r="I17" s="25">
        <f>I13*0.05</f>
        <v/>
      </c>
      <c r="J17" s="25">
        <f>J13*0.05</f>
        <v/>
      </c>
      <c r="K17" s="25">
        <f>K13*0.05</f>
        <v/>
      </c>
      <c r="L17" s="25">
        <f>L13*0.05</f>
        <v/>
      </c>
      <c r="M17" s="25">
        <f>M13*0.05</f>
        <v/>
      </c>
      <c r="N17" s="25">
        <f>N13*0.05</f>
        <v/>
      </c>
      <c r="O17" s="25">
        <f>O13*0.05</f>
        <v/>
      </c>
      <c r="P17" s="25">
        <f>P13*0.05</f>
        <v/>
      </c>
      <c r="Q17" s="25">
        <f>Q13*0.05</f>
        <v/>
      </c>
      <c r="R17" s="25">
        <f>R13*0.05</f>
        <v/>
      </c>
      <c r="S17" s="24" t="n"/>
      <c r="T17" s="24" t="n"/>
      <c r="U17" s="24" t="n"/>
    </row>
    <row r="18" ht="24" customHeight="1">
      <c r="A18" s="23" t="inlineStr">
        <is>
          <t>(=) VALOR LÍQUIDO A LIBERAR NA NF-e:</t>
        </is>
      </c>
      <c r="B18" s="24" t="n"/>
      <c r="C18" s="24" t="n"/>
      <c r="D18" s="24" t="n"/>
      <c r="E18" s="24" t="n"/>
      <c r="F18" s="24" t="n"/>
      <c r="G18" s="26">
        <f>G13-G17</f>
        <v/>
      </c>
      <c r="H18" s="26">
        <f>H13-H17</f>
        <v/>
      </c>
      <c r="I18" s="26">
        <f>I13-I17</f>
        <v/>
      </c>
      <c r="J18" s="26">
        <f>J13-J17</f>
        <v/>
      </c>
      <c r="K18" s="26">
        <f>K13-K17</f>
        <v/>
      </c>
      <c r="L18" s="26">
        <f>L13-L17</f>
        <v/>
      </c>
      <c r="M18" s="26">
        <f>M13-M17</f>
        <v/>
      </c>
      <c r="N18" s="26">
        <f>N13-N17</f>
        <v/>
      </c>
      <c r="O18" s="26">
        <f>O13-O17</f>
        <v/>
      </c>
      <c r="P18" s="26">
        <f>P13-P17</f>
        <v/>
      </c>
      <c r="Q18" s="26">
        <f>Q13-Q17</f>
        <v/>
      </c>
      <c r="R18" s="26">
        <f>R13-R17</f>
        <v/>
      </c>
      <c r="S18" s="24" t="n"/>
      <c r="T18" s="24" t="n"/>
      <c r="U18" s="24" t="n"/>
    </row>
  </sheetData>
  <mergeCells count="16">
    <mergeCell ref="A16:F16"/>
    <mergeCell ref="B4:B5"/>
    <mergeCell ref="A2:U2"/>
    <mergeCell ref="C4:C5"/>
    <mergeCell ref="A4:A5"/>
    <mergeCell ref="F4:F5"/>
    <mergeCell ref="D4:D5"/>
    <mergeCell ref="E4:E5"/>
    <mergeCell ref="S4:U4"/>
    <mergeCell ref="A14:F14"/>
    <mergeCell ref="A17:F17"/>
    <mergeCell ref="A18:F18"/>
    <mergeCell ref="A13:E13"/>
    <mergeCell ref="G4:R4"/>
    <mergeCell ref="A1:U1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7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16" customWidth="1" min="20" max="20"/>
    <col width="14" customWidth="1" min="21" max="21"/>
  </cols>
  <sheetData>
    <row r="1" ht="28" customHeight="1">
      <c r="A1" s="1" t="inlineStr">
        <is>
          <t>OBRA_NOVA — BOLETIM EVOLUTIVO DE MEDIÇÃO QUINZENAL: SUB-06 (EMPREITADA DE INSTALAÇÕES HIDROSSANITÁRIAS E DRENAGEM)</t>
        </is>
      </c>
    </row>
    <row r="2" ht="20" customHeight="1">
      <c r="A2" s="2" t="inlineStr">
        <is>
          <t>Empreiteiro: Empreiteira de Instalações Hidráulicas Ltda | Centro de Custo: CC-601 / CC-602 / CC-603 | Vigência: Semanas S12 a S20 (60 dias corridos) | Retenção Técnica: 5,0% | Governança: POP 09 e POP 17</t>
        </is>
      </c>
    </row>
    <row r="4" ht="18" customHeight="1">
      <c r="A4" s="3" t="inlineStr">
        <is>
          <t>Código
EAP</t>
        </is>
      </c>
      <c r="B4" s="3" t="inlineStr">
        <is>
          <t>Descrição Pormenorizada do Serviço Contratado</t>
        </is>
      </c>
      <c r="C4" s="3" t="inlineStr">
        <is>
          <t>Unid</t>
        </is>
      </c>
      <c r="D4" s="3" t="inlineStr">
        <is>
          <t>Quantidade
Contratada</t>
        </is>
      </c>
      <c r="E4" s="3" t="inlineStr">
        <is>
          <t>Preço Unitário
(R$)</t>
        </is>
      </c>
      <c r="F4" s="3" t="inlineStr">
        <is>
          <t>Total Contrato
(R$)</t>
        </is>
      </c>
      <c r="G4" s="3" t="inlineStr">
        <is>
          <t>AVANÇO FÍSICO QUINZENAL DE PRODUÇÃO (12 MEDIÇÕES CONTRATUAIS - QTD MEDIDA)</t>
        </is>
      </c>
      <c r="S4" s="4" t="inlineStr">
        <is>
          <t>SALDOS E FECHAMENTO ACUMULADO</t>
        </is>
      </c>
    </row>
    <row r="5" ht="24" customHeight="1">
      <c r="G5" s="3" t="inlineStr">
        <is>
          <t>Medição 1
(Qtd)</t>
        </is>
      </c>
      <c r="H5" s="3" t="inlineStr">
        <is>
          <t>Medição 2
(Qtd)</t>
        </is>
      </c>
      <c r="I5" s="3" t="inlineStr">
        <is>
          <t>Medição 3
(Qtd)</t>
        </is>
      </c>
      <c r="J5" s="3" t="inlineStr">
        <is>
          <t>Medição 4
(Qtd)</t>
        </is>
      </c>
      <c r="K5" s="3" t="inlineStr">
        <is>
          <t>Medição 5
(Qtd)</t>
        </is>
      </c>
      <c r="L5" s="3" t="inlineStr">
        <is>
          <t>Medição 6
(Qtd)</t>
        </is>
      </c>
      <c r="M5" s="3" t="inlineStr">
        <is>
          <t>Medição 7
(Qtd)</t>
        </is>
      </c>
      <c r="N5" s="3" t="inlineStr">
        <is>
          <t>Medição 8
(Qtd)</t>
        </is>
      </c>
      <c r="O5" s="3" t="inlineStr">
        <is>
          <t>Medição 9
(Qtd)</t>
        </is>
      </c>
      <c r="P5" s="3" t="inlineStr">
        <is>
          <t>Medição 10
(Qtd)</t>
        </is>
      </c>
      <c r="Q5" s="3" t="inlineStr">
        <is>
          <t>Medição 11
(Qtd)</t>
        </is>
      </c>
      <c r="R5" s="3" t="inlineStr">
        <is>
          <t>Medição 12
(Qtd)</t>
        </is>
      </c>
      <c r="S5" s="4" t="inlineStr">
        <is>
          <t>Total Medido
Acumulado</t>
        </is>
      </c>
      <c r="T5" s="4" t="inlineStr">
        <is>
          <t>Saldo a Medir
(Quantidade)</t>
        </is>
      </c>
      <c r="U5" s="4" t="inlineStr">
        <is>
          <t>% Avanço
Físico</t>
        </is>
      </c>
    </row>
    <row r="6" ht="20" customHeight="1">
      <c r="A6" s="5" t="inlineStr">
        <is>
          <t>2.1.1</t>
        </is>
      </c>
      <c r="B6" s="6" t="inlineStr">
        <is>
          <t>Tubulações de água fria em PVC soldável de 20 a 50mm embutidas</t>
        </is>
      </c>
      <c r="C6" s="5" t="inlineStr">
        <is>
          <t>m</t>
        </is>
      </c>
      <c r="D6" s="7" t="n">
        <v>240</v>
      </c>
      <c r="E6" s="8" t="n">
        <v>18</v>
      </c>
      <c r="F6" s="9">
        <f>D6*E6</f>
        <v/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10" t="n">
        <v>120</v>
      </c>
      <c r="M6" s="10" t="n">
        <v>120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11">
        <f>SUM(G6:R6)</f>
        <v/>
      </c>
      <c r="T6" s="7">
        <f>D6-S6</f>
        <v/>
      </c>
      <c r="U6" s="12">
        <f>S6/D6</f>
        <v/>
      </c>
    </row>
    <row r="7" ht="20" customHeight="1">
      <c r="A7" s="13" t="inlineStr">
        <is>
          <t>2.1.2</t>
        </is>
      </c>
      <c r="B7" s="14" t="inlineStr">
        <is>
          <t>Tubulações de esgoto sanitário e ventilação em PVC série normal e reforçada</t>
        </is>
      </c>
      <c r="C7" s="13" t="inlineStr">
        <is>
          <t>m</t>
        </is>
      </c>
      <c r="D7" s="15" t="n">
        <v>180</v>
      </c>
      <c r="E7" s="16" t="n">
        <v>24</v>
      </c>
      <c r="F7" s="17">
        <f>D7*E7</f>
        <v/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0" t="n">
        <v>90</v>
      </c>
      <c r="M7" s="10" t="n">
        <v>90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8">
        <f>SUM(G7:R7)</f>
        <v/>
      </c>
      <c r="T7" s="15">
        <f>D7-S7</f>
        <v/>
      </c>
      <c r="U7" s="19">
        <f>S7/D7</f>
        <v/>
      </c>
    </row>
    <row r="8" ht="20" customHeight="1">
      <c r="A8" s="5" t="inlineStr">
        <is>
          <t>2.1.3</t>
        </is>
      </c>
      <c r="B8" s="6" t="inlineStr">
        <is>
          <t>Instalação de caixas sifonadas, ralos secos e caixas de inspeção/gordura</t>
        </is>
      </c>
      <c r="C8" s="5" t="inlineStr">
        <is>
          <t>un</t>
        </is>
      </c>
      <c r="D8" s="7" t="n">
        <v>16</v>
      </c>
      <c r="E8" s="8" t="n">
        <v>85</v>
      </c>
      <c r="F8" s="9">
        <f>D8*E8</f>
        <v/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10" t="n">
        <v>8</v>
      </c>
      <c r="M8" s="10" t="n">
        <v>8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11">
        <f>SUM(G8:R8)</f>
        <v/>
      </c>
      <c r="T8" s="7">
        <f>D8-S8</f>
        <v/>
      </c>
      <c r="U8" s="12">
        <f>S8/D8</f>
        <v/>
      </c>
    </row>
    <row r="9" ht="20" customHeight="1">
      <c r="A9" s="13" t="inlineStr">
        <is>
          <t>2.1.4</t>
        </is>
      </c>
      <c r="B9" s="14" t="inlineStr">
        <is>
          <t>Instalação de louças sanitárias Deca (bacias acopladas e lavatórios de coluna)</t>
        </is>
      </c>
      <c r="C9" s="13" t="inlineStr">
        <is>
          <t>un</t>
        </is>
      </c>
      <c r="D9" s="15" t="n">
        <v>12</v>
      </c>
      <c r="E9" s="16" t="n">
        <v>120</v>
      </c>
      <c r="F9" s="17">
        <f>D9*E9</f>
        <v/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0" t="n">
        <v>6</v>
      </c>
      <c r="O9" s="10" t="n">
        <v>6</v>
      </c>
      <c r="P9" s="15" t="n">
        <v>0</v>
      </c>
      <c r="Q9" s="15" t="n">
        <v>0</v>
      </c>
      <c r="R9" s="15" t="n">
        <v>0</v>
      </c>
      <c r="S9" s="18">
        <f>SUM(G9:R9)</f>
        <v/>
      </c>
      <c r="T9" s="15">
        <f>D9-S9</f>
        <v/>
      </c>
      <c r="U9" s="19">
        <f>S9/D9</f>
        <v/>
      </c>
    </row>
    <row r="10" ht="20" customHeight="1">
      <c r="A10" s="5" t="inlineStr">
        <is>
          <t>2.1.5</t>
        </is>
      </c>
      <c r="B10" s="6" t="inlineStr">
        <is>
          <t>Instalação de metais Docol (torneiras temporizadas e registros de gaveta)</t>
        </is>
      </c>
      <c r="C10" s="5" t="inlineStr">
        <is>
          <t>un</t>
        </is>
      </c>
      <c r="D10" s="7" t="n">
        <v>18</v>
      </c>
      <c r="E10" s="8" t="n">
        <v>65</v>
      </c>
      <c r="F10" s="9">
        <f>D10*E10</f>
        <v/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10" t="n">
        <v>9</v>
      </c>
      <c r="O10" s="10" t="n">
        <v>9</v>
      </c>
      <c r="P10" s="7" t="n">
        <v>0</v>
      </c>
      <c r="Q10" s="7" t="n">
        <v>0</v>
      </c>
      <c r="R10" s="7" t="n">
        <v>0</v>
      </c>
      <c r="S10" s="11">
        <f>SUM(G10:R10)</f>
        <v/>
      </c>
      <c r="T10" s="7">
        <f>D10-S10</f>
        <v/>
      </c>
      <c r="U10" s="12">
        <f>S10/D10</f>
        <v/>
      </c>
    </row>
    <row r="11" ht="20" customHeight="1">
      <c r="A11" s="13" t="inlineStr">
        <is>
          <t>2.1.6</t>
        </is>
      </c>
      <c r="B11" s="14" t="inlineStr">
        <is>
          <t>Mão de obra especializada de testes hidrostáticos, manômetro e laudo técnico</t>
        </is>
      </c>
      <c r="C11" s="13" t="inlineStr">
        <is>
          <t>vb</t>
        </is>
      </c>
      <c r="D11" s="15" t="n">
        <v>1</v>
      </c>
      <c r="E11" s="16" t="n">
        <v>26290</v>
      </c>
      <c r="F11" s="17">
        <f>D11*E11</f>
        <v/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0" t="n">
        <v>0.25</v>
      </c>
      <c r="M11" s="10" t="n">
        <v>0.25</v>
      </c>
      <c r="N11" s="10" t="n">
        <v>0.25</v>
      </c>
      <c r="O11" s="10" t="n">
        <v>0.25</v>
      </c>
      <c r="P11" s="15" t="n">
        <v>0</v>
      </c>
      <c r="Q11" s="15" t="n">
        <v>0</v>
      </c>
      <c r="R11" s="15" t="n">
        <v>0</v>
      </c>
      <c r="S11" s="18">
        <f>SUM(G11:R11)</f>
        <v/>
      </c>
      <c r="T11" s="15">
        <f>D11-S11</f>
        <v/>
      </c>
      <c r="U11" s="19">
        <f>S11/D11</f>
        <v/>
      </c>
    </row>
    <row r="12" ht="24" customHeight="1">
      <c r="A12" s="20" t="inlineStr">
        <is>
          <t>TOTAL BRUTO MEDIDO NO PERÍODO (R$):</t>
        </is>
      </c>
      <c r="F12" s="21">
        <f>SUM(F6:F11)</f>
        <v/>
      </c>
      <c r="G12" s="21">
        <f>SUMPRODUCT($E$6:$E$11,G$6:G$11)</f>
        <v/>
      </c>
      <c r="H12" s="21">
        <f>SUMPRODUCT($E$6:$E$11,H$6:H$11)</f>
        <v/>
      </c>
      <c r="I12" s="21">
        <f>SUMPRODUCT($E$6:$E$11,I$6:I$11)</f>
        <v/>
      </c>
      <c r="J12" s="21">
        <f>SUMPRODUCT($E$6:$E$11,J$6:J$11)</f>
        <v/>
      </c>
      <c r="K12" s="21">
        <f>SUMPRODUCT($E$6:$E$11,K$6:K$11)</f>
        <v/>
      </c>
      <c r="L12" s="21">
        <f>SUMPRODUCT($E$6:$E$11,L$6:L$11)</f>
        <v/>
      </c>
      <c r="M12" s="21">
        <f>SUMPRODUCT($E$6:$E$11,M$6:M$11)</f>
        <v/>
      </c>
      <c r="N12" s="21">
        <f>SUMPRODUCT($E$6:$E$11,N$6:N$11)</f>
        <v/>
      </c>
      <c r="O12" s="21">
        <f>SUMPRODUCT($E$6:$E$11,O$6:O$11)</f>
        <v/>
      </c>
      <c r="P12" s="21">
        <f>SUMPRODUCT($E$6:$E$11,P$6:P$11)</f>
        <v/>
      </c>
      <c r="Q12" s="21">
        <f>SUMPRODUCT($E$6:$E$11,Q$6:Q$11)</f>
        <v/>
      </c>
      <c r="R12" s="21">
        <f>SUMPRODUCT($E$6:$E$11,R$6:R$11)</f>
        <v/>
      </c>
      <c r="S12" s="21">
        <f>SUM(G12:R12)</f>
        <v/>
      </c>
      <c r="T12" s="21">
        <f>F12-S12</f>
        <v/>
      </c>
      <c r="U12" s="22">
        <f>S12/F12</f>
        <v/>
      </c>
    </row>
    <row r="13" ht="20" customHeight="1">
      <c r="A13" s="23" t="inlineStr">
        <is>
          <t>TOTAL ACUMULADO ATÉ A MEDIÇÃO (R$):</t>
        </is>
      </c>
      <c r="B13" s="24" t="n"/>
      <c r="C13" s="24" t="n"/>
      <c r="D13" s="24" t="n"/>
      <c r="E13" s="24" t="n"/>
      <c r="F13" s="24" t="n"/>
      <c r="G13" s="17">
        <f>SUM(G$12:G$12)</f>
        <v/>
      </c>
      <c r="H13" s="17">
        <f>SUM(G$12:H$12)</f>
        <v/>
      </c>
      <c r="I13" s="17">
        <f>SUM(G$12:I$12)</f>
        <v/>
      </c>
      <c r="J13" s="17">
        <f>SUM(G$12:J$12)</f>
        <v/>
      </c>
      <c r="K13" s="17">
        <f>SUM(G$12:K$12)</f>
        <v/>
      </c>
      <c r="L13" s="17">
        <f>SUM(G$12:L$12)</f>
        <v/>
      </c>
      <c r="M13" s="17">
        <f>SUM(G$12:M$12)</f>
        <v/>
      </c>
      <c r="N13" s="17">
        <f>SUM(G$12:N$12)</f>
        <v/>
      </c>
      <c r="O13" s="17">
        <f>SUM(G$12:O$12)</f>
        <v/>
      </c>
      <c r="P13" s="17">
        <f>SUM(G$12:P$12)</f>
        <v/>
      </c>
      <c r="Q13" s="17">
        <f>SUM(G$12:Q$12)</f>
        <v/>
      </c>
      <c r="R13" s="17">
        <f>SUM(G$12:R$12)</f>
        <v/>
      </c>
      <c r="S13" s="24" t="n"/>
      <c r="T13" s="24" t="n"/>
      <c r="U13" s="24" t="n"/>
    </row>
    <row r="14" ht="20" customHeight="1">
      <c r="A14" s="23" t="inlineStr">
        <is>
          <t>SALDO DO CONTRATO APÓS MEDIÇÃO (R$):</t>
        </is>
      </c>
      <c r="B14" s="24" t="n"/>
      <c r="C14" s="24" t="n"/>
      <c r="D14" s="24" t="n"/>
      <c r="E14" s="24" t="n"/>
      <c r="F14" s="24" t="n"/>
      <c r="G14" s="16">
        <f>$F$12-G13</f>
        <v/>
      </c>
      <c r="H14" s="16">
        <f>$F$12-H13</f>
        <v/>
      </c>
      <c r="I14" s="16">
        <f>$F$12-I13</f>
        <v/>
      </c>
      <c r="J14" s="16">
        <f>$F$12-J13</f>
        <v/>
      </c>
      <c r="K14" s="16">
        <f>$F$12-K13</f>
        <v/>
      </c>
      <c r="L14" s="16">
        <f>$F$12-L13</f>
        <v/>
      </c>
      <c r="M14" s="16">
        <f>$F$12-M13</f>
        <v/>
      </c>
      <c r="N14" s="16">
        <f>$F$12-N13</f>
        <v/>
      </c>
      <c r="O14" s="16">
        <f>$F$12-O13</f>
        <v/>
      </c>
      <c r="P14" s="16">
        <f>$F$12-P13</f>
        <v/>
      </c>
      <c r="Q14" s="16">
        <f>$F$12-Q13</f>
        <v/>
      </c>
      <c r="R14" s="16">
        <f>$F$12-R13</f>
        <v/>
      </c>
      <c r="S14" s="24" t="n"/>
      <c r="T14" s="24" t="n"/>
      <c r="U14" s="24" t="n"/>
    </row>
    <row r="15" ht="20" customHeight="1">
      <c r="A15" s="23" t="inlineStr">
        <is>
          <t>% AVANÇO ACUMULADO NO CONTRATO:</t>
        </is>
      </c>
      <c r="B15" s="24" t="n"/>
      <c r="C15" s="24" t="n"/>
      <c r="D15" s="24" t="n"/>
      <c r="E15" s="24" t="n"/>
      <c r="F15" s="24" t="n"/>
      <c r="G15" s="19">
        <f>G13/$F$12</f>
        <v/>
      </c>
      <c r="H15" s="19">
        <f>H13/$F$12</f>
        <v/>
      </c>
      <c r="I15" s="19">
        <f>I13/$F$12</f>
        <v/>
      </c>
      <c r="J15" s="19">
        <f>J13/$F$12</f>
        <v/>
      </c>
      <c r="K15" s="19">
        <f>K13/$F$12</f>
        <v/>
      </c>
      <c r="L15" s="19">
        <f>L13/$F$12</f>
        <v/>
      </c>
      <c r="M15" s="19">
        <f>M13/$F$12</f>
        <v/>
      </c>
      <c r="N15" s="19">
        <f>N13/$F$12</f>
        <v/>
      </c>
      <c r="O15" s="19">
        <f>O13/$F$12</f>
        <v/>
      </c>
      <c r="P15" s="19">
        <f>P13/$F$12</f>
        <v/>
      </c>
      <c r="Q15" s="19">
        <f>Q13/$F$12</f>
        <v/>
      </c>
      <c r="R15" s="19">
        <f>R13/$F$12</f>
        <v/>
      </c>
      <c r="S15" s="24" t="n"/>
      <c r="T15" s="24" t="n"/>
      <c r="U15" s="24" t="n"/>
    </row>
    <row r="16" ht="20" customHeight="1">
      <c r="A16" s="23" t="inlineStr">
        <is>
          <t>(-) RETENÇÃO TÉCNICA DE GARANTIA (5,0%):</t>
        </is>
      </c>
      <c r="B16" s="24" t="n"/>
      <c r="C16" s="24" t="n"/>
      <c r="D16" s="24" t="n"/>
      <c r="E16" s="24" t="n"/>
      <c r="F16" s="24" t="n"/>
      <c r="G16" s="25">
        <f>G12*0.05</f>
        <v/>
      </c>
      <c r="H16" s="25">
        <f>H12*0.05</f>
        <v/>
      </c>
      <c r="I16" s="25">
        <f>I12*0.05</f>
        <v/>
      </c>
      <c r="J16" s="25">
        <f>J12*0.05</f>
        <v/>
      </c>
      <c r="K16" s="25">
        <f>K12*0.05</f>
        <v/>
      </c>
      <c r="L16" s="25">
        <f>L12*0.05</f>
        <v/>
      </c>
      <c r="M16" s="25">
        <f>M12*0.05</f>
        <v/>
      </c>
      <c r="N16" s="25">
        <f>N12*0.05</f>
        <v/>
      </c>
      <c r="O16" s="25">
        <f>O12*0.05</f>
        <v/>
      </c>
      <c r="P16" s="25">
        <f>P12*0.05</f>
        <v/>
      </c>
      <c r="Q16" s="25">
        <f>Q12*0.05</f>
        <v/>
      </c>
      <c r="R16" s="25">
        <f>R12*0.05</f>
        <v/>
      </c>
      <c r="S16" s="24" t="n"/>
      <c r="T16" s="24" t="n"/>
      <c r="U16" s="24" t="n"/>
    </row>
    <row r="17" ht="24" customHeight="1">
      <c r="A17" s="23" t="inlineStr">
        <is>
          <t>(=) VALOR LÍQUIDO A LIBERAR NA NF-e:</t>
        </is>
      </c>
      <c r="B17" s="24" t="n"/>
      <c r="C17" s="24" t="n"/>
      <c r="D17" s="24" t="n"/>
      <c r="E17" s="24" t="n"/>
      <c r="F17" s="24" t="n"/>
      <c r="G17" s="26">
        <f>G12-G16</f>
        <v/>
      </c>
      <c r="H17" s="26">
        <f>H12-H16</f>
        <v/>
      </c>
      <c r="I17" s="26">
        <f>I12-I16</f>
        <v/>
      </c>
      <c r="J17" s="26">
        <f>J12-J16</f>
        <v/>
      </c>
      <c r="K17" s="26">
        <f>K12-K16</f>
        <v/>
      </c>
      <c r="L17" s="26">
        <f>L12-L16</f>
        <v/>
      </c>
      <c r="M17" s="26">
        <f>M12-M16</f>
        <v/>
      </c>
      <c r="N17" s="26">
        <f>N12-N16</f>
        <v/>
      </c>
      <c r="O17" s="26">
        <f>O12-O16</f>
        <v/>
      </c>
      <c r="P17" s="26">
        <f>P12-P16</f>
        <v/>
      </c>
      <c r="Q17" s="26">
        <f>Q12-Q16</f>
        <v/>
      </c>
      <c r="R17" s="26">
        <f>R12-R16</f>
        <v/>
      </c>
      <c r="S17" s="24" t="n"/>
      <c r="T17" s="24" t="n"/>
      <c r="U17" s="24" t="n"/>
    </row>
  </sheetData>
  <mergeCells count="16">
    <mergeCell ref="A16:F16"/>
    <mergeCell ref="A12:E12"/>
    <mergeCell ref="B4:B5"/>
    <mergeCell ref="A2:U2"/>
    <mergeCell ref="A13:F13"/>
    <mergeCell ref="C4:C5"/>
    <mergeCell ref="A4:A5"/>
    <mergeCell ref="F4:F5"/>
    <mergeCell ref="D4:D5"/>
    <mergeCell ref="E4:E5"/>
    <mergeCell ref="S4:U4"/>
    <mergeCell ref="A14:F14"/>
    <mergeCell ref="A17:F17"/>
    <mergeCell ref="G4:R4"/>
    <mergeCell ref="A1:U1"/>
    <mergeCell ref="A15:F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6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16" customWidth="1" min="20" max="20"/>
    <col width="14" customWidth="1" min="21" max="21"/>
  </cols>
  <sheetData>
    <row r="1" ht="28" customHeight="1">
      <c r="A1" s="1" t="inlineStr">
        <is>
          <t>OBRA_NOVA — BOLETIM EVOLUTIVO DE MEDIÇÃO QUINZENAL: SUB-07 (EMPREITADA DE CLIMATIZAÇÃO E SISTEMA VRF/SPLIT)</t>
        </is>
      </c>
    </row>
    <row r="2" ht="20" customHeight="1">
      <c r="A2" s="2" t="inlineStr">
        <is>
          <t>Empreiteiro: Empreiteira de Refrigeração e HVAC Ltda | Centro de Custo: CC-608 (Climatização e Ventilação) | Vigência: Semanas S20 a S24 (30 dias corridos) | Retenção Técnica: 5,0% | Governança: POP 09 e POP 17</t>
        </is>
      </c>
    </row>
    <row r="4" ht="18" customHeight="1">
      <c r="A4" s="3" t="inlineStr">
        <is>
          <t>Código
EAP</t>
        </is>
      </c>
      <c r="B4" s="3" t="inlineStr">
        <is>
          <t>Descrição Pormenorizada do Serviço Contratado</t>
        </is>
      </c>
      <c r="C4" s="3" t="inlineStr">
        <is>
          <t>Unid</t>
        </is>
      </c>
      <c r="D4" s="3" t="inlineStr">
        <is>
          <t>Quantidade
Contratada</t>
        </is>
      </c>
      <c r="E4" s="3" t="inlineStr">
        <is>
          <t>Preço Unitário
(R$)</t>
        </is>
      </c>
      <c r="F4" s="3" t="inlineStr">
        <is>
          <t>Total Contrato
(R$)</t>
        </is>
      </c>
      <c r="G4" s="3" t="inlineStr">
        <is>
          <t>AVANÇO FÍSICO QUINZENAL DE PRODUÇÃO (12 MEDIÇÕES CONTRATUAIS - QTD MEDIDA)</t>
        </is>
      </c>
      <c r="S4" s="4" t="inlineStr">
        <is>
          <t>SALDOS E FECHAMENTO ACUMULADO</t>
        </is>
      </c>
    </row>
    <row r="5" ht="24" customHeight="1">
      <c r="G5" s="3" t="inlineStr">
        <is>
          <t>Medição 1
(Qtd)</t>
        </is>
      </c>
      <c r="H5" s="3" t="inlineStr">
        <is>
          <t>Medição 2
(Qtd)</t>
        </is>
      </c>
      <c r="I5" s="3" t="inlineStr">
        <is>
          <t>Medição 3
(Qtd)</t>
        </is>
      </c>
      <c r="J5" s="3" t="inlineStr">
        <is>
          <t>Medição 4
(Qtd)</t>
        </is>
      </c>
      <c r="K5" s="3" t="inlineStr">
        <is>
          <t>Medição 5
(Qtd)</t>
        </is>
      </c>
      <c r="L5" s="3" t="inlineStr">
        <is>
          <t>Medição 6
(Qtd)</t>
        </is>
      </c>
      <c r="M5" s="3" t="inlineStr">
        <is>
          <t>Medição 7
(Qtd)</t>
        </is>
      </c>
      <c r="N5" s="3" t="inlineStr">
        <is>
          <t>Medição 8
(Qtd)</t>
        </is>
      </c>
      <c r="O5" s="3" t="inlineStr">
        <is>
          <t>Medição 9
(Qtd)</t>
        </is>
      </c>
      <c r="P5" s="3" t="inlineStr">
        <is>
          <t>Medição 10
(Qtd)</t>
        </is>
      </c>
      <c r="Q5" s="3" t="inlineStr">
        <is>
          <t>Medição 11
(Qtd)</t>
        </is>
      </c>
      <c r="R5" s="3" t="inlineStr">
        <is>
          <t>Medição 12
(Qtd)</t>
        </is>
      </c>
      <c r="S5" s="4" t="inlineStr">
        <is>
          <t>Total Medido
Acumulado</t>
        </is>
      </c>
      <c r="T5" s="4" t="inlineStr">
        <is>
          <t>Saldo a Medir
(Quantidade)</t>
        </is>
      </c>
      <c r="U5" s="4" t="inlineStr">
        <is>
          <t>% Avanço
Físico</t>
        </is>
      </c>
    </row>
    <row r="6" ht="20" customHeight="1">
      <c r="A6" s="5" t="inlineStr">
        <is>
          <t>2.3.1</t>
        </is>
      </c>
      <c r="B6" s="6" t="inlineStr">
        <is>
          <t>Instalação de tubulação frigorígena de cobre sem costura isolada c/ elastomérico</t>
        </is>
      </c>
      <c r="C6" s="5" t="inlineStr">
        <is>
          <t>m</t>
        </is>
      </c>
      <c r="D6" s="7" t="n">
        <v>160</v>
      </c>
      <c r="E6" s="8" t="n">
        <v>35</v>
      </c>
      <c r="F6" s="9">
        <f>D6*E6</f>
        <v/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10" t="n">
        <v>80</v>
      </c>
      <c r="Q6" s="10" t="n">
        <v>80</v>
      </c>
      <c r="R6" s="7" t="n">
        <v>0</v>
      </c>
      <c r="S6" s="11">
        <f>SUM(G6:R6)</f>
        <v/>
      </c>
      <c r="T6" s="7">
        <f>D6-S6</f>
        <v/>
      </c>
      <c r="U6" s="12">
        <f>S6/D6</f>
        <v/>
      </c>
    </row>
    <row r="7" ht="20" customHeight="1">
      <c r="A7" s="13" t="inlineStr">
        <is>
          <t>2.3.2</t>
        </is>
      </c>
      <c r="B7" s="14" t="inlineStr">
        <is>
          <t>Execução de rede de drenagem de condensado em PVC rígido soldável Ø25mm</t>
        </is>
      </c>
      <c r="C7" s="13" t="inlineStr">
        <is>
          <t>m</t>
        </is>
      </c>
      <c r="D7" s="15" t="n">
        <v>80</v>
      </c>
      <c r="E7" s="16" t="n">
        <v>22</v>
      </c>
      <c r="F7" s="17">
        <f>D7*E7</f>
        <v/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0" t="n">
        <v>40</v>
      </c>
      <c r="Q7" s="10" t="n">
        <v>40</v>
      </c>
      <c r="R7" s="15" t="n">
        <v>0</v>
      </c>
      <c r="S7" s="18">
        <f>SUM(G7:R7)</f>
        <v/>
      </c>
      <c r="T7" s="15">
        <f>D7-S7</f>
        <v/>
      </c>
      <c r="U7" s="19">
        <f>S7/D7</f>
        <v/>
      </c>
    </row>
    <row r="8" ht="20" customHeight="1">
      <c r="A8" s="5" t="inlineStr">
        <is>
          <t>2.3.3</t>
        </is>
      </c>
      <c r="B8" s="6" t="inlineStr">
        <is>
          <t>Fixação de 8 evaporadoras e condensadoras com suportes metálicos c/ coxins</t>
        </is>
      </c>
      <c r="C8" s="5" t="inlineStr">
        <is>
          <t>un</t>
        </is>
      </c>
      <c r="D8" s="7" t="n">
        <v>8</v>
      </c>
      <c r="E8" s="8" t="n">
        <v>450</v>
      </c>
      <c r="F8" s="9">
        <f>D8*E8</f>
        <v/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10" t="n">
        <v>4</v>
      </c>
      <c r="Q8" s="10" t="n">
        <v>4</v>
      </c>
      <c r="R8" s="7" t="n">
        <v>0</v>
      </c>
      <c r="S8" s="11">
        <f>SUM(G8:R8)</f>
        <v/>
      </c>
      <c r="T8" s="7">
        <f>D8-S8</f>
        <v/>
      </c>
      <c r="U8" s="12">
        <f>S8/D8</f>
        <v/>
      </c>
    </row>
    <row r="9" ht="20" customHeight="1">
      <c r="A9" s="13" t="inlineStr">
        <is>
          <t>2.3.4</t>
        </is>
      </c>
      <c r="B9" s="14" t="inlineStr">
        <is>
          <t>Serviço de pressurização com N2, vácuo profundo &lt;500 microns e recolhimento</t>
        </is>
      </c>
      <c r="C9" s="13" t="inlineStr">
        <is>
          <t>cj</t>
        </is>
      </c>
      <c r="D9" s="15" t="n">
        <v>8</v>
      </c>
      <c r="E9" s="16" t="n">
        <v>300</v>
      </c>
      <c r="F9" s="17">
        <f>D9*E9</f>
        <v/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0" t="n">
        <v>8</v>
      </c>
      <c r="R9" s="15" t="n">
        <v>0</v>
      </c>
      <c r="S9" s="18">
        <f>SUM(G9:R9)</f>
        <v/>
      </c>
      <c r="T9" s="15">
        <f>D9-S9</f>
        <v/>
      </c>
      <c r="U9" s="19">
        <f>S9/D9</f>
        <v/>
      </c>
    </row>
    <row r="10" ht="20" customHeight="1">
      <c r="A10" s="5" t="inlineStr">
        <is>
          <t>2.3.5</t>
        </is>
      </c>
      <c r="B10" s="6" t="inlineStr">
        <is>
          <t>Start-up, medição de corrente/tensão, teste de vazão de ar e emissão de ART</t>
        </is>
      </c>
      <c r="C10" s="5" t="inlineStr">
        <is>
          <t>vb</t>
        </is>
      </c>
      <c r="D10" s="7" t="n">
        <v>1</v>
      </c>
      <c r="E10" s="8" t="n">
        <v>11440</v>
      </c>
      <c r="F10" s="9">
        <f>D10*E10</f>
        <v/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10" t="n">
        <v>0.5</v>
      </c>
      <c r="R10" s="10" t="n">
        <v>0.5</v>
      </c>
      <c r="S10" s="11">
        <f>SUM(G10:R10)</f>
        <v/>
      </c>
      <c r="T10" s="7">
        <f>D10-S10</f>
        <v/>
      </c>
      <c r="U10" s="12">
        <f>S10/D10</f>
        <v/>
      </c>
    </row>
    <row r="11" ht="24" customHeight="1">
      <c r="A11" s="20" t="inlineStr">
        <is>
          <t>TOTAL BRUTO MEDIDO NO PERÍODO (R$):</t>
        </is>
      </c>
      <c r="F11" s="21">
        <f>SUM(F6:F10)</f>
        <v/>
      </c>
      <c r="G11" s="21">
        <f>SUMPRODUCT($E$6:$E$10,G$6:G$10)</f>
        <v/>
      </c>
      <c r="H11" s="21">
        <f>SUMPRODUCT($E$6:$E$10,H$6:H$10)</f>
        <v/>
      </c>
      <c r="I11" s="21">
        <f>SUMPRODUCT($E$6:$E$10,I$6:I$10)</f>
        <v/>
      </c>
      <c r="J11" s="21">
        <f>SUMPRODUCT($E$6:$E$10,J$6:J$10)</f>
        <v/>
      </c>
      <c r="K11" s="21">
        <f>SUMPRODUCT($E$6:$E$10,K$6:K$10)</f>
        <v/>
      </c>
      <c r="L11" s="21">
        <f>SUMPRODUCT($E$6:$E$10,L$6:L$10)</f>
        <v/>
      </c>
      <c r="M11" s="21">
        <f>SUMPRODUCT($E$6:$E$10,M$6:M$10)</f>
        <v/>
      </c>
      <c r="N11" s="21">
        <f>SUMPRODUCT($E$6:$E$10,N$6:N$10)</f>
        <v/>
      </c>
      <c r="O11" s="21">
        <f>SUMPRODUCT($E$6:$E$10,O$6:O$10)</f>
        <v/>
      </c>
      <c r="P11" s="21">
        <f>SUMPRODUCT($E$6:$E$10,P$6:P$10)</f>
        <v/>
      </c>
      <c r="Q11" s="21">
        <f>SUMPRODUCT($E$6:$E$10,Q$6:Q$10)</f>
        <v/>
      </c>
      <c r="R11" s="21">
        <f>SUMPRODUCT($E$6:$E$10,R$6:R$10)</f>
        <v/>
      </c>
      <c r="S11" s="21">
        <f>SUM(G11:R11)</f>
        <v/>
      </c>
      <c r="T11" s="21">
        <f>F11-S11</f>
        <v/>
      </c>
      <c r="U11" s="22">
        <f>S11/F11</f>
        <v/>
      </c>
    </row>
    <row r="12" ht="20" customHeight="1">
      <c r="A12" s="23" t="inlineStr">
        <is>
          <t>TOTAL ACUMULADO ATÉ A MEDIÇÃO (R$):</t>
        </is>
      </c>
      <c r="B12" s="24" t="n"/>
      <c r="C12" s="24" t="n"/>
      <c r="D12" s="24" t="n"/>
      <c r="E12" s="24" t="n"/>
      <c r="F12" s="24" t="n"/>
      <c r="G12" s="17">
        <f>SUM(G$11:G$11)</f>
        <v/>
      </c>
      <c r="H12" s="17">
        <f>SUM(G$11:H$11)</f>
        <v/>
      </c>
      <c r="I12" s="17">
        <f>SUM(G$11:I$11)</f>
        <v/>
      </c>
      <c r="J12" s="17">
        <f>SUM(G$11:J$11)</f>
        <v/>
      </c>
      <c r="K12" s="17">
        <f>SUM(G$11:K$11)</f>
        <v/>
      </c>
      <c r="L12" s="17">
        <f>SUM(G$11:L$11)</f>
        <v/>
      </c>
      <c r="M12" s="17">
        <f>SUM(G$11:M$11)</f>
        <v/>
      </c>
      <c r="N12" s="17">
        <f>SUM(G$11:N$11)</f>
        <v/>
      </c>
      <c r="O12" s="17">
        <f>SUM(G$11:O$11)</f>
        <v/>
      </c>
      <c r="P12" s="17">
        <f>SUM(G$11:P$11)</f>
        <v/>
      </c>
      <c r="Q12" s="17">
        <f>SUM(G$11:Q$11)</f>
        <v/>
      </c>
      <c r="R12" s="17">
        <f>SUM(G$11:R$11)</f>
        <v/>
      </c>
      <c r="S12" s="24" t="n"/>
      <c r="T12" s="24" t="n"/>
      <c r="U12" s="24" t="n"/>
    </row>
    <row r="13" ht="20" customHeight="1">
      <c r="A13" s="23" t="inlineStr">
        <is>
          <t>SALDO DO CONTRATO APÓS MEDIÇÃO (R$):</t>
        </is>
      </c>
      <c r="B13" s="24" t="n"/>
      <c r="C13" s="24" t="n"/>
      <c r="D13" s="24" t="n"/>
      <c r="E13" s="24" t="n"/>
      <c r="F13" s="24" t="n"/>
      <c r="G13" s="16">
        <f>$F$11-G12</f>
        <v/>
      </c>
      <c r="H13" s="16">
        <f>$F$11-H12</f>
        <v/>
      </c>
      <c r="I13" s="16">
        <f>$F$11-I12</f>
        <v/>
      </c>
      <c r="J13" s="16">
        <f>$F$11-J12</f>
        <v/>
      </c>
      <c r="K13" s="16">
        <f>$F$11-K12</f>
        <v/>
      </c>
      <c r="L13" s="16">
        <f>$F$11-L12</f>
        <v/>
      </c>
      <c r="M13" s="16">
        <f>$F$11-M12</f>
        <v/>
      </c>
      <c r="N13" s="16">
        <f>$F$11-N12</f>
        <v/>
      </c>
      <c r="O13" s="16">
        <f>$F$11-O12</f>
        <v/>
      </c>
      <c r="P13" s="16">
        <f>$F$11-P12</f>
        <v/>
      </c>
      <c r="Q13" s="16">
        <f>$F$11-Q12</f>
        <v/>
      </c>
      <c r="R13" s="16">
        <f>$F$11-R12</f>
        <v/>
      </c>
      <c r="S13" s="24" t="n"/>
      <c r="T13" s="24" t="n"/>
      <c r="U13" s="24" t="n"/>
    </row>
    <row r="14" ht="20" customHeight="1">
      <c r="A14" s="23" t="inlineStr">
        <is>
          <t>% AVANÇO ACUMULADO NO CONTRATO:</t>
        </is>
      </c>
      <c r="B14" s="24" t="n"/>
      <c r="C14" s="24" t="n"/>
      <c r="D14" s="24" t="n"/>
      <c r="E14" s="24" t="n"/>
      <c r="F14" s="24" t="n"/>
      <c r="G14" s="19">
        <f>G12/$F$11</f>
        <v/>
      </c>
      <c r="H14" s="19">
        <f>H12/$F$11</f>
        <v/>
      </c>
      <c r="I14" s="19">
        <f>I12/$F$11</f>
        <v/>
      </c>
      <c r="J14" s="19">
        <f>J12/$F$11</f>
        <v/>
      </c>
      <c r="K14" s="19">
        <f>K12/$F$11</f>
        <v/>
      </c>
      <c r="L14" s="19">
        <f>L12/$F$11</f>
        <v/>
      </c>
      <c r="M14" s="19">
        <f>M12/$F$11</f>
        <v/>
      </c>
      <c r="N14" s="19">
        <f>N12/$F$11</f>
        <v/>
      </c>
      <c r="O14" s="19">
        <f>O12/$F$11</f>
        <v/>
      </c>
      <c r="P14" s="19">
        <f>P12/$F$11</f>
        <v/>
      </c>
      <c r="Q14" s="19">
        <f>Q12/$F$11</f>
        <v/>
      </c>
      <c r="R14" s="19">
        <f>R12/$F$11</f>
        <v/>
      </c>
      <c r="S14" s="24" t="n"/>
      <c r="T14" s="24" t="n"/>
      <c r="U14" s="24" t="n"/>
    </row>
    <row r="15" ht="20" customHeight="1">
      <c r="A15" s="23" t="inlineStr">
        <is>
          <t>(-) RETENÇÃO TÉCNICA DE GARANTIA (5,0%):</t>
        </is>
      </c>
      <c r="B15" s="24" t="n"/>
      <c r="C15" s="24" t="n"/>
      <c r="D15" s="24" t="n"/>
      <c r="E15" s="24" t="n"/>
      <c r="F15" s="24" t="n"/>
      <c r="G15" s="25">
        <f>G11*0.05</f>
        <v/>
      </c>
      <c r="H15" s="25">
        <f>H11*0.05</f>
        <v/>
      </c>
      <c r="I15" s="25">
        <f>I11*0.05</f>
        <v/>
      </c>
      <c r="J15" s="25">
        <f>J11*0.05</f>
        <v/>
      </c>
      <c r="K15" s="25">
        <f>K11*0.05</f>
        <v/>
      </c>
      <c r="L15" s="25">
        <f>L11*0.05</f>
        <v/>
      </c>
      <c r="M15" s="25">
        <f>M11*0.05</f>
        <v/>
      </c>
      <c r="N15" s="25">
        <f>N11*0.05</f>
        <v/>
      </c>
      <c r="O15" s="25">
        <f>O11*0.05</f>
        <v/>
      </c>
      <c r="P15" s="25">
        <f>P11*0.05</f>
        <v/>
      </c>
      <c r="Q15" s="25">
        <f>Q11*0.05</f>
        <v/>
      </c>
      <c r="R15" s="25">
        <f>R11*0.05</f>
        <v/>
      </c>
      <c r="S15" s="24" t="n"/>
      <c r="T15" s="24" t="n"/>
      <c r="U15" s="24" t="n"/>
    </row>
    <row r="16" ht="24" customHeight="1">
      <c r="A16" s="23" t="inlineStr">
        <is>
          <t>(=) VALOR LÍQUIDO A LIBERAR NA NF-e:</t>
        </is>
      </c>
      <c r="B16" s="24" t="n"/>
      <c r="C16" s="24" t="n"/>
      <c r="D16" s="24" t="n"/>
      <c r="E16" s="24" t="n"/>
      <c r="F16" s="24" t="n"/>
      <c r="G16" s="26">
        <f>G11-G15</f>
        <v/>
      </c>
      <c r="H16" s="26">
        <f>H11-H15</f>
        <v/>
      </c>
      <c r="I16" s="26">
        <f>I11-I15</f>
        <v/>
      </c>
      <c r="J16" s="26">
        <f>J11-J15</f>
        <v/>
      </c>
      <c r="K16" s="26">
        <f>K11-K15</f>
        <v/>
      </c>
      <c r="L16" s="26">
        <f>L11-L15</f>
        <v/>
      </c>
      <c r="M16" s="26">
        <f>M11-M15</f>
        <v/>
      </c>
      <c r="N16" s="26">
        <f>N11-N15</f>
        <v/>
      </c>
      <c r="O16" s="26">
        <f>O11-O15</f>
        <v/>
      </c>
      <c r="P16" s="26">
        <f>P11-P15</f>
        <v/>
      </c>
      <c r="Q16" s="26">
        <f>Q11-Q15</f>
        <v/>
      </c>
      <c r="R16" s="26">
        <f>R11-R15</f>
        <v/>
      </c>
      <c r="S16" s="24" t="n"/>
      <c r="T16" s="24" t="n"/>
      <c r="U16" s="24" t="n"/>
    </row>
  </sheetData>
  <mergeCells count="16">
    <mergeCell ref="A16:F16"/>
    <mergeCell ref="B4:B5"/>
    <mergeCell ref="A2:U2"/>
    <mergeCell ref="A13:F13"/>
    <mergeCell ref="C4:C5"/>
    <mergeCell ref="A4:A5"/>
    <mergeCell ref="F4:F5"/>
    <mergeCell ref="D4:D5"/>
    <mergeCell ref="E4:E5"/>
    <mergeCell ref="S4:U4"/>
    <mergeCell ref="A14:F14"/>
    <mergeCell ref="A11:E11"/>
    <mergeCell ref="A12:F12"/>
    <mergeCell ref="G4:R4"/>
    <mergeCell ref="A1:U1"/>
    <mergeCell ref="A15:F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6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16" customWidth="1" min="20" max="20"/>
    <col width="14" customWidth="1" min="21" max="21"/>
  </cols>
  <sheetData>
    <row r="1" ht="28" customHeight="1">
      <c r="A1" s="1" t="inlineStr">
        <is>
          <t>OBRA_NOVA — BOLETIM EVOLUTIVO DE MEDIÇÃO QUINZENAL: SUB-08 (EMPREITADA DE PINTURA PREDIAL, MASSA CORRIDA E TEXTURAS)</t>
        </is>
      </c>
    </row>
    <row r="2" ht="20" customHeight="1">
      <c r="A2" s="2" t="inlineStr">
        <is>
          <t>Empreiteiro: Empreiteira de Pintura e Tratamento de Superfícies Ltda | Centro de Custo: CC-706 (Pintura Predial) | Vigência: Semanas S20 a S25 (40 dias corridos) | Retenção Técnica: 5,0% | Governança: POP 09 e POP 17</t>
        </is>
      </c>
    </row>
    <row r="4" ht="18" customHeight="1">
      <c r="A4" s="3" t="inlineStr">
        <is>
          <t>Código
EAP</t>
        </is>
      </c>
      <c r="B4" s="3" t="inlineStr">
        <is>
          <t>Descrição Pormenorizada do Serviço Contratado</t>
        </is>
      </c>
      <c r="C4" s="3" t="inlineStr">
        <is>
          <t>Unid</t>
        </is>
      </c>
      <c r="D4" s="3" t="inlineStr">
        <is>
          <t>Quantidade
Contratada</t>
        </is>
      </c>
      <c r="E4" s="3" t="inlineStr">
        <is>
          <t>Preço Unitário
(R$)</t>
        </is>
      </c>
      <c r="F4" s="3" t="inlineStr">
        <is>
          <t>Total Contrato
(R$)</t>
        </is>
      </c>
      <c r="G4" s="3" t="inlineStr">
        <is>
          <t>AVANÇO FÍSICO QUINZENAL DE PRODUÇÃO (12 MEDIÇÕES CONTRATUAIS - QTD MEDIDA)</t>
        </is>
      </c>
      <c r="S4" s="4" t="inlineStr">
        <is>
          <t>SALDOS E FECHAMENTO ACUMULADO</t>
        </is>
      </c>
    </row>
    <row r="5" ht="24" customHeight="1">
      <c r="G5" s="3" t="inlineStr">
        <is>
          <t>Medição 1
(Qtd)</t>
        </is>
      </c>
      <c r="H5" s="3" t="inlineStr">
        <is>
          <t>Medição 2
(Qtd)</t>
        </is>
      </c>
      <c r="I5" s="3" t="inlineStr">
        <is>
          <t>Medição 3
(Qtd)</t>
        </is>
      </c>
      <c r="J5" s="3" t="inlineStr">
        <is>
          <t>Medição 4
(Qtd)</t>
        </is>
      </c>
      <c r="K5" s="3" t="inlineStr">
        <is>
          <t>Medição 5
(Qtd)</t>
        </is>
      </c>
      <c r="L5" s="3" t="inlineStr">
        <is>
          <t>Medição 6
(Qtd)</t>
        </is>
      </c>
      <c r="M5" s="3" t="inlineStr">
        <is>
          <t>Medição 7
(Qtd)</t>
        </is>
      </c>
      <c r="N5" s="3" t="inlineStr">
        <is>
          <t>Medição 8
(Qtd)</t>
        </is>
      </c>
      <c r="O5" s="3" t="inlineStr">
        <is>
          <t>Medição 9
(Qtd)</t>
        </is>
      </c>
      <c r="P5" s="3" t="inlineStr">
        <is>
          <t>Medição 10
(Qtd)</t>
        </is>
      </c>
      <c r="Q5" s="3" t="inlineStr">
        <is>
          <t>Medição 11
(Qtd)</t>
        </is>
      </c>
      <c r="R5" s="3" t="inlineStr">
        <is>
          <t>Medição 12
(Qtd)</t>
        </is>
      </c>
      <c r="S5" s="4" t="inlineStr">
        <is>
          <t>Total Medido
Acumulado</t>
        </is>
      </c>
      <c r="T5" s="4" t="inlineStr">
        <is>
          <t>Saldo a Medir
(Quantidade)</t>
        </is>
      </c>
      <c r="U5" s="4" t="inlineStr">
        <is>
          <t>% Avanço
Físico</t>
        </is>
      </c>
    </row>
    <row r="6" ht="20" customHeight="1">
      <c r="A6" s="5" t="inlineStr">
        <is>
          <t>1.8.1</t>
        </is>
      </c>
      <c r="B6" s="6" t="inlineStr">
        <is>
          <t>Lixamento de superfícies de emboço e aplicação de fundo preparador/selador</t>
        </is>
      </c>
      <c r="C6" s="5" t="inlineStr">
        <is>
          <t>m²</t>
        </is>
      </c>
      <c r="D6" s="7" t="n">
        <v>920</v>
      </c>
      <c r="E6" s="8" t="n">
        <v>6</v>
      </c>
      <c r="F6" s="9">
        <f>D6*E6</f>
        <v/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10" t="n">
        <v>460</v>
      </c>
      <c r="Q6" s="10" t="n">
        <v>460</v>
      </c>
      <c r="R6" s="7" t="n">
        <v>0</v>
      </c>
      <c r="S6" s="11">
        <f>SUM(G6:R6)</f>
        <v/>
      </c>
      <c r="T6" s="7">
        <f>D6-S6</f>
        <v/>
      </c>
      <c r="U6" s="12">
        <f>S6/D6</f>
        <v/>
      </c>
    </row>
    <row r="7" ht="20" customHeight="1">
      <c r="A7" s="13" t="inlineStr">
        <is>
          <t>1.8.2</t>
        </is>
      </c>
      <c r="B7" s="14" t="inlineStr">
        <is>
          <t>Aplicação de 2 demãos de massa corrida (PVA interna / Acrílica externa e WCs)</t>
        </is>
      </c>
      <c r="C7" s="13" t="inlineStr">
        <is>
          <t>m²</t>
        </is>
      </c>
      <c r="D7" s="15" t="n">
        <v>920</v>
      </c>
      <c r="E7" s="16" t="n">
        <v>18</v>
      </c>
      <c r="F7" s="17">
        <f>D7*E7</f>
        <v/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5" t="n">
        <v>0</v>
      </c>
      <c r="Q7" s="10" t="n">
        <v>460</v>
      </c>
      <c r="R7" s="10" t="n">
        <v>460</v>
      </c>
      <c r="S7" s="18">
        <f>SUM(G7:R7)</f>
        <v/>
      </c>
      <c r="T7" s="15">
        <f>D7-S7</f>
        <v/>
      </c>
      <c r="U7" s="19">
        <f>S7/D7</f>
        <v/>
      </c>
    </row>
    <row r="8" ht="20" customHeight="1">
      <c r="A8" s="5" t="inlineStr">
        <is>
          <t>1.8.3</t>
        </is>
      </c>
      <c r="B8" s="6" t="inlineStr">
        <is>
          <t>Lixamento fino com lixadeira orbital c/ coletor de pó e limpeza de poeira</t>
        </is>
      </c>
      <c r="C8" s="5" t="inlineStr">
        <is>
          <t>m²</t>
        </is>
      </c>
      <c r="D8" s="7" t="n">
        <v>920</v>
      </c>
      <c r="E8" s="8" t="n">
        <v>5</v>
      </c>
      <c r="F8" s="9">
        <f>D8*E8</f>
        <v/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10" t="n">
        <v>460</v>
      </c>
      <c r="R8" s="10" t="n">
        <v>460</v>
      </c>
      <c r="S8" s="11">
        <f>SUM(G8:R8)</f>
        <v/>
      </c>
      <c r="T8" s="7">
        <f>D8-S8</f>
        <v/>
      </c>
      <c r="U8" s="12">
        <f>S8/D8</f>
        <v/>
      </c>
    </row>
    <row r="9" ht="20" customHeight="1">
      <c r="A9" s="13" t="inlineStr">
        <is>
          <t>1.8.4</t>
        </is>
      </c>
      <c r="B9" s="14" t="inlineStr">
        <is>
          <t>Pintura em 2 demãos de látex acrílico premium acabamento fosco lavável</t>
        </is>
      </c>
      <c r="C9" s="13" t="inlineStr">
        <is>
          <t>m²</t>
        </is>
      </c>
      <c r="D9" s="15" t="n">
        <v>920</v>
      </c>
      <c r="E9" s="16" t="n">
        <v>12</v>
      </c>
      <c r="F9" s="17">
        <f>D9*E9</f>
        <v/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0" t="n">
        <v>920</v>
      </c>
      <c r="S9" s="18">
        <f>SUM(G9:R9)</f>
        <v/>
      </c>
      <c r="T9" s="15">
        <f>D9-S9</f>
        <v/>
      </c>
      <c r="U9" s="19">
        <f>S9/D9</f>
        <v/>
      </c>
    </row>
    <row r="10" ht="20" customHeight="1">
      <c r="A10" s="5" t="inlineStr">
        <is>
          <t>1.8.5</t>
        </is>
      </c>
      <c r="B10" s="6" t="inlineStr">
        <is>
          <t>Proteção geral de vidros e caixilhos com fita crepe azul e papel kraft</t>
        </is>
      </c>
      <c r="C10" s="5" t="inlineStr">
        <is>
          <t>vb</t>
        </is>
      </c>
      <c r="D10" s="7" t="n">
        <v>1</v>
      </c>
      <c r="E10" s="8" t="n">
        <v>1780</v>
      </c>
      <c r="F10" s="9">
        <f>D10*E10</f>
        <v/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10" t="n">
        <v>0.5</v>
      </c>
      <c r="Q10" s="10" t="n">
        <v>0.25</v>
      </c>
      <c r="R10" s="10" t="n">
        <v>0.25</v>
      </c>
      <c r="S10" s="11">
        <f>SUM(G10:R10)</f>
        <v/>
      </c>
      <c r="T10" s="7">
        <f>D10-S10</f>
        <v/>
      </c>
      <c r="U10" s="12">
        <f>S10/D10</f>
        <v/>
      </c>
    </row>
    <row r="11" ht="24" customHeight="1">
      <c r="A11" s="20" t="inlineStr">
        <is>
          <t>TOTAL BRUTO MEDIDO NO PERÍODO (R$):</t>
        </is>
      </c>
      <c r="F11" s="21">
        <f>SUM(F6:F10)</f>
        <v/>
      </c>
      <c r="G11" s="21">
        <f>SUMPRODUCT($E$6:$E$10,G$6:G$10)</f>
        <v/>
      </c>
      <c r="H11" s="21">
        <f>SUMPRODUCT($E$6:$E$10,H$6:H$10)</f>
        <v/>
      </c>
      <c r="I11" s="21">
        <f>SUMPRODUCT($E$6:$E$10,I$6:I$10)</f>
        <v/>
      </c>
      <c r="J11" s="21">
        <f>SUMPRODUCT($E$6:$E$10,J$6:J$10)</f>
        <v/>
      </c>
      <c r="K11" s="21">
        <f>SUMPRODUCT($E$6:$E$10,K$6:K$10)</f>
        <v/>
      </c>
      <c r="L11" s="21">
        <f>SUMPRODUCT($E$6:$E$10,L$6:L$10)</f>
        <v/>
      </c>
      <c r="M11" s="21">
        <f>SUMPRODUCT($E$6:$E$10,M$6:M$10)</f>
        <v/>
      </c>
      <c r="N11" s="21">
        <f>SUMPRODUCT($E$6:$E$10,N$6:N$10)</f>
        <v/>
      </c>
      <c r="O11" s="21">
        <f>SUMPRODUCT($E$6:$E$10,O$6:O$10)</f>
        <v/>
      </c>
      <c r="P11" s="21">
        <f>SUMPRODUCT($E$6:$E$10,P$6:P$10)</f>
        <v/>
      </c>
      <c r="Q11" s="21">
        <f>SUMPRODUCT($E$6:$E$10,Q$6:Q$10)</f>
        <v/>
      </c>
      <c r="R11" s="21">
        <f>SUMPRODUCT($E$6:$E$10,R$6:R$10)</f>
        <v/>
      </c>
      <c r="S11" s="21">
        <f>SUM(G11:R11)</f>
        <v/>
      </c>
      <c r="T11" s="21">
        <f>F11-S11</f>
        <v/>
      </c>
      <c r="U11" s="22">
        <f>S11/F11</f>
        <v/>
      </c>
    </row>
    <row r="12" ht="20" customHeight="1">
      <c r="A12" s="23" t="inlineStr">
        <is>
          <t>TOTAL ACUMULADO ATÉ A MEDIÇÃO (R$):</t>
        </is>
      </c>
      <c r="B12" s="24" t="n"/>
      <c r="C12" s="24" t="n"/>
      <c r="D12" s="24" t="n"/>
      <c r="E12" s="24" t="n"/>
      <c r="F12" s="24" t="n"/>
      <c r="G12" s="17">
        <f>SUM(G$11:G$11)</f>
        <v/>
      </c>
      <c r="H12" s="17">
        <f>SUM(G$11:H$11)</f>
        <v/>
      </c>
      <c r="I12" s="17">
        <f>SUM(G$11:I$11)</f>
        <v/>
      </c>
      <c r="J12" s="17">
        <f>SUM(G$11:J$11)</f>
        <v/>
      </c>
      <c r="K12" s="17">
        <f>SUM(G$11:K$11)</f>
        <v/>
      </c>
      <c r="L12" s="17">
        <f>SUM(G$11:L$11)</f>
        <v/>
      </c>
      <c r="M12" s="17">
        <f>SUM(G$11:M$11)</f>
        <v/>
      </c>
      <c r="N12" s="17">
        <f>SUM(G$11:N$11)</f>
        <v/>
      </c>
      <c r="O12" s="17">
        <f>SUM(G$11:O$11)</f>
        <v/>
      </c>
      <c r="P12" s="17">
        <f>SUM(G$11:P$11)</f>
        <v/>
      </c>
      <c r="Q12" s="17">
        <f>SUM(G$11:Q$11)</f>
        <v/>
      </c>
      <c r="R12" s="17">
        <f>SUM(G$11:R$11)</f>
        <v/>
      </c>
      <c r="S12" s="24" t="n"/>
      <c r="T12" s="24" t="n"/>
      <c r="U12" s="24" t="n"/>
    </row>
    <row r="13" ht="20" customHeight="1">
      <c r="A13" s="23" t="inlineStr">
        <is>
          <t>SALDO DO CONTRATO APÓS MEDIÇÃO (R$):</t>
        </is>
      </c>
      <c r="B13" s="24" t="n"/>
      <c r="C13" s="24" t="n"/>
      <c r="D13" s="24" t="n"/>
      <c r="E13" s="24" t="n"/>
      <c r="F13" s="24" t="n"/>
      <c r="G13" s="16">
        <f>$F$11-G12</f>
        <v/>
      </c>
      <c r="H13" s="16">
        <f>$F$11-H12</f>
        <v/>
      </c>
      <c r="I13" s="16">
        <f>$F$11-I12</f>
        <v/>
      </c>
      <c r="J13" s="16">
        <f>$F$11-J12</f>
        <v/>
      </c>
      <c r="K13" s="16">
        <f>$F$11-K12</f>
        <v/>
      </c>
      <c r="L13" s="16">
        <f>$F$11-L12</f>
        <v/>
      </c>
      <c r="M13" s="16">
        <f>$F$11-M12</f>
        <v/>
      </c>
      <c r="N13" s="16">
        <f>$F$11-N12</f>
        <v/>
      </c>
      <c r="O13" s="16">
        <f>$F$11-O12</f>
        <v/>
      </c>
      <c r="P13" s="16">
        <f>$F$11-P12</f>
        <v/>
      </c>
      <c r="Q13" s="16">
        <f>$F$11-Q12</f>
        <v/>
      </c>
      <c r="R13" s="16">
        <f>$F$11-R12</f>
        <v/>
      </c>
      <c r="S13" s="24" t="n"/>
      <c r="T13" s="24" t="n"/>
      <c r="U13" s="24" t="n"/>
    </row>
    <row r="14" ht="20" customHeight="1">
      <c r="A14" s="23" t="inlineStr">
        <is>
          <t>% AVANÇO ACUMULADO NO CONTRATO:</t>
        </is>
      </c>
      <c r="B14" s="24" t="n"/>
      <c r="C14" s="24" t="n"/>
      <c r="D14" s="24" t="n"/>
      <c r="E14" s="24" t="n"/>
      <c r="F14" s="24" t="n"/>
      <c r="G14" s="19">
        <f>G12/$F$11</f>
        <v/>
      </c>
      <c r="H14" s="19">
        <f>H12/$F$11</f>
        <v/>
      </c>
      <c r="I14" s="19">
        <f>I12/$F$11</f>
        <v/>
      </c>
      <c r="J14" s="19">
        <f>J12/$F$11</f>
        <v/>
      </c>
      <c r="K14" s="19">
        <f>K12/$F$11</f>
        <v/>
      </c>
      <c r="L14" s="19">
        <f>L12/$F$11</f>
        <v/>
      </c>
      <c r="M14" s="19">
        <f>M12/$F$11</f>
        <v/>
      </c>
      <c r="N14" s="19">
        <f>N12/$F$11</f>
        <v/>
      </c>
      <c r="O14" s="19">
        <f>O12/$F$11</f>
        <v/>
      </c>
      <c r="P14" s="19">
        <f>P12/$F$11</f>
        <v/>
      </c>
      <c r="Q14" s="19">
        <f>Q12/$F$11</f>
        <v/>
      </c>
      <c r="R14" s="19">
        <f>R12/$F$11</f>
        <v/>
      </c>
      <c r="S14" s="24" t="n"/>
      <c r="T14" s="24" t="n"/>
      <c r="U14" s="24" t="n"/>
    </row>
    <row r="15" ht="20" customHeight="1">
      <c r="A15" s="23" t="inlineStr">
        <is>
          <t>(-) RETENÇÃO TÉCNICA DE GARANTIA (5,0%):</t>
        </is>
      </c>
      <c r="B15" s="24" t="n"/>
      <c r="C15" s="24" t="n"/>
      <c r="D15" s="24" t="n"/>
      <c r="E15" s="24" t="n"/>
      <c r="F15" s="24" t="n"/>
      <c r="G15" s="25">
        <f>G11*0.05</f>
        <v/>
      </c>
      <c r="H15" s="25">
        <f>H11*0.05</f>
        <v/>
      </c>
      <c r="I15" s="25">
        <f>I11*0.05</f>
        <v/>
      </c>
      <c r="J15" s="25">
        <f>J11*0.05</f>
        <v/>
      </c>
      <c r="K15" s="25">
        <f>K11*0.05</f>
        <v/>
      </c>
      <c r="L15" s="25">
        <f>L11*0.05</f>
        <v/>
      </c>
      <c r="M15" s="25">
        <f>M11*0.05</f>
        <v/>
      </c>
      <c r="N15" s="25">
        <f>N11*0.05</f>
        <v/>
      </c>
      <c r="O15" s="25">
        <f>O11*0.05</f>
        <v/>
      </c>
      <c r="P15" s="25">
        <f>P11*0.05</f>
        <v/>
      </c>
      <c r="Q15" s="25">
        <f>Q11*0.05</f>
        <v/>
      </c>
      <c r="R15" s="25">
        <f>R11*0.05</f>
        <v/>
      </c>
      <c r="S15" s="24" t="n"/>
      <c r="T15" s="24" t="n"/>
      <c r="U15" s="24" t="n"/>
    </row>
    <row r="16" ht="24" customHeight="1">
      <c r="A16" s="23" t="inlineStr">
        <is>
          <t>(=) VALOR LÍQUIDO A LIBERAR NA NF-e:</t>
        </is>
      </c>
      <c r="B16" s="24" t="n"/>
      <c r="C16" s="24" t="n"/>
      <c r="D16" s="24" t="n"/>
      <c r="E16" s="24" t="n"/>
      <c r="F16" s="24" t="n"/>
      <c r="G16" s="26">
        <f>G11-G15</f>
        <v/>
      </c>
      <c r="H16" s="26">
        <f>H11-H15</f>
        <v/>
      </c>
      <c r="I16" s="26">
        <f>I11-I15</f>
        <v/>
      </c>
      <c r="J16" s="26">
        <f>J11-J15</f>
        <v/>
      </c>
      <c r="K16" s="26">
        <f>K11-K15</f>
        <v/>
      </c>
      <c r="L16" s="26">
        <f>L11-L15</f>
        <v/>
      </c>
      <c r="M16" s="26">
        <f>M11-M15</f>
        <v/>
      </c>
      <c r="N16" s="26">
        <f>N11-N15</f>
        <v/>
      </c>
      <c r="O16" s="26">
        <f>O11-O15</f>
        <v/>
      </c>
      <c r="P16" s="26">
        <f>P11-P15</f>
        <v/>
      </c>
      <c r="Q16" s="26">
        <f>Q11-Q15</f>
        <v/>
      </c>
      <c r="R16" s="26">
        <f>R11-R15</f>
        <v/>
      </c>
      <c r="S16" s="24" t="n"/>
      <c r="T16" s="24" t="n"/>
      <c r="U16" s="24" t="n"/>
    </row>
  </sheetData>
  <mergeCells count="16">
    <mergeCell ref="A16:F16"/>
    <mergeCell ref="B4:B5"/>
    <mergeCell ref="A2:U2"/>
    <mergeCell ref="A13:F13"/>
    <mergeCell ref="C4:C5"/>
    <mergeCell ref="A4:A5"/>
    <mergeCell ref="F4:F5"/>
    <mergeCell ref="D4:D5"/>
    <mergeCell ref="E4:E5"/>
    <mergeCell ref="S4:U4"/>
    <mergeCell ref="A14:F14"/>
    <mergeCell ref="A11:E11"/>
    <mergeCell ref="A12:F12"/>
    <mergeCell ref="G4:R4"/>
    <mergeCell ref="A1:U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2026-09-13T16:00:56Z</dcterms:created>
  <dcterms:modified xsi:type="dcterms:W3CDTF">2026-09-13T16:00:56Z</dcterms:modified>
</cp:coreProperties>
</file>