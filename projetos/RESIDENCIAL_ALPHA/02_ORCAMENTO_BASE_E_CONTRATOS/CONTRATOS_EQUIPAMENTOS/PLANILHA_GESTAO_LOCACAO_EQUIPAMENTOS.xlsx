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Loc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D99B26"/>
        <bgColor rgb="00D99B26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3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32" customWidth="1" min="3" max="3"/>
    <col width="28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8" customWidth="1" min="10" max="10"/>
    <col width="18" customWidth="1" min="11" max="11"/>
  </cols>
  <sheetData>
    <row r="1" ht="26" customHeight="1">
      <c r="A1" s="1" t="inlineStr">
        <is>
          <t>PAINEL DE GESTÃO DE CONTRATOS DE LOCAÇÃO DE EQUIPAMENTOS (RESIDENCIAL_ALPHA - R$ 141,899.98)</t>
        </is>
      </c>
    </row>
    <row r="3" ht="24" customHeight="1">
      <c r="A3" s="2" t="inlineStr">
        <is>
          <t>Contrato</t>
        </is>
      </c>
      <c r="B3" s="2" t="inlineStr">
        <is>
          <t>Objeto da Locação</t>
        </is>
      </c>
      <c r="C3" s="2" t="inlineStr">
        <is>
          <t>Equipamentos Atendidos</t>
        </is>
      </c>
      <c r="D3" s="2" t="inlineStr">
        <is>
          <t>Locador Homologado</t>
        </is>
      </c>
      <c r="E3" s="2" t="inlineStr">
        <is>
          <t>Centro Custo</t>
        </is>
      </c>
      <c r="F3" s="2" t="inlineStr">
        <is>
          <t>EAP</t>
        </is>
      </c>
      <c r="G3" s="2" t="inlineStr">
        <is>
          <t>Mobilização</t>
        </is>
      </c>
      <c r="H3" s="2" t="inlineStr">
        <is>
          <t>Desmobilização</t>
        </is>
      </c>
      <c r="I3" s="3" t="inlineStr">
        <is>
          <t>Prazo</t>
        </is>
      </c>
      <c r="J3" s="3" t="inlineStr">
        <is>
          <t>Valor Mensal (R$)</t>
        </is>
      </c>
      <c r="K3" s="3" t="inlineStr">
        <is>
          <t>Valor Total (R$)</t>
        </is>
      </c>
    </row>
    <row r="4" ht="20" customHeight="1">
      <c r="A4" s="4" t="inlineStr">
        <is>
          <t>LOC-01</t>
        </is>
      </c>
      <c r="B4" s="5" t="inlineStr">
        <is>
          <t>MÓDULOS HABITÁVEIS CONTAINERS E SANITÁRI</t>
        </is>
      </c>
      <c r="C4" s="5" t="inlineStr">
        <is>
          <t>EQ-01 (Escritório), EQ-02 (Vestiári</t>
        </is>
      </c>
      <c r="D4" s="5" t="inlineStr">
        <is>
          <t>Rentcon Locações de Módulos Habitáveis Ltda</t>
        </is>
      </c>
      <c r="E4" s="4" t="inlineStr">
        <is>
          <t>CC-103</t>
        </is>
      </c>
      <c r="F4" s="4" t="inlineStr">
        <is>
          <t>1.0.3</t>
        </is>
      </c>
      <c r="G4" s="4" t="inlineStr">
        <is>
          <t>22/09/2026</t>
        </is>
      </c>
      <c r="H4" s="4" t="inlineStr">
        <is>
          <t>10/03/2027</t>
        </is>
      </c>
      <c r="I4" s="4" t="inlineStr">
        <is>
          <t>6 Meses</t>
        </is>
      </c>
      <c r="J4" s="6" t="n">
        <v>6383.33</v>
      </c>
      <c r="K4" s="7" t="n">
        <v>38299.98</v>
      </c>
    </row>
    <row r="5" ht="20" customHeight="1">
      <c r="A5" s="8" t="inlineStr">
        <is>
          <t>LOC-02</t>
        </is>
      </c>
      <c r="B5" s="9" t="inlineStr">
        <is>
          <t>MAQUINÁRIO PESADO DE TERRAPLENAGEM COM O</t>
        </is>
      </c>
      <c r="C5" s="9" t="inlineStr">
        <is>
          <t>EQ-06 (Retroescavadeira 4x4) e EQ-0</t>
        </is>
      </c>
      <c r="D5" s="9" t="inlineStr">
        <is>
          <t>Terramax Locações e Terraplenagem do Norte Fluminense Ltda</t>
        </is>
      </c>
      <c r="E5" s="8" t="inlineStr">
        <is>
          <t>CC-201</t>
        </is>
      </c>
      <c r="F5" s="8" t="inlineStr">
        <is>
          <t>1.1.1, 1.1.2</t>
        </is>
      </c>
      <c r="G5" s="8" t="inlineStr">
        <is>
          <t>19/09/2026</t>
        </is>
      </c>
      <c r="H5" s="8" t="inlineStr">
        <is>
          <t>08/10/2026</t>
        </is>
      </c>
      <c r="I5" s="8" t="inlineStr">
        <is>
          <t>3 Semanas</t>
        </is>
      </c>
      <c r="J5" s="10" t="n">
        <v>24500</v>
      </c>
      <c r="K5" s="11" t="n">
        <v>24500</v>
      </c>
    </row>
    <row r="6" ht="20" customHeight="1">
      <c r="A6" s="4" t="inlineStr">
        <is>
          <t>LOC-03</t>
        </is>
      </c>
      <c r="B6" s="5" t="inlineStr">
        <is>
          <t>GRUPO GERADOR DIESEL SILENCIADO 50 kVA A</t>
        </is>
      </c>
      <c r="C6" s="5" t="inlineStr">
        <is>
          <t>EQ-17 (Grupo Gerador Diesel Silenci</t>
        </is>
      </c>
      <c r="D6" s="5" t="inlineStr">
        <is>
          <t>Tecnogera Locação de Geradores e Energia Temporária S.A.</t>
        </is>
      </c>
      <c r="E6" s="4" t="inlineStr">
        <is>
          <t>CC-104</t>
        </is>
      </c>
      <c r="F6" s="4" t="inlineStr">
        <is>
          <t>1.0.4</t>
        </is>
      </c>
      <c r="G6" s="4" t="inlineStr">
        <is>
          <t>18/09/2026</t>
        </is>
      </c>
      <c r="H6" s="4" t="inlineStr">
        <is>
          <t>10/12/2026</t>
        </is>
      </c>
      <c r="I6" s="4" t="inlineStr">
        <is>
          <t>3 Meses</t>
        </is>
      </c>
      <c r="J6" s="6" t="n">
        <v>6600</v>
      </c>
      <c r="K6" s="7" t="n">
        <v>19800</v>
      </c>
    </row>
    <row r="7" ht="20" customHeight="1">
      <c r="A7" s="8" t="inlineStr">
        <is>
          <t>LOC-04</t>
        </is>
      </c>
      <c r="B7" s="9" t="inlineStr">
        <is>
          <t>SISTEMA DE CIMBRAMENTO E ESCORAMENTO MET</t>
        </is>
      </c>
      <c r="C7" s="9" t="inlineStr">
        <is>
          <t>EQ-10 (Sistema de Cimbramento Metál</t>
        </is>
      </c>
      <c r="D7" s="9" t="inlineStr">
        <is>
          <t>Mills Estruturas e Serviços de Engenharia S.A.</t>
        </is>
      </c>
      <c r="E7" s="8" t="inlineStr">
        <is>
          <t>CC-302</t>
        </is>
      </c>
      <c r="F7" s="8" t="inlineStr">
        <is>
          <t>1.2.4, 1.2.6</t>
        </is>
      </c>
      <c r="G7" s="8" t="inlineStr">
        <is>
          <t>25/10/2026</t>
        </is>
      </c>
      <c r="H7" s="8" t="inlineStr">
        <is>
          <t>28/11/2026</t>
        </is>
      </c>
      <c r="I7" s="8" t="inlineStr">
        <is>
          <t>35 Dias Corridos</t>
        </is>
      </c>
      <c r="J7" s="10" t="n">
        <v>14850</v>
      </c>
      <c r="K7" s="11" t="n">
        <v>14850</v>
      </c>
    </row>
    <row r="8" ht="20" customHeight="1">
      <c r="A8" s="4" t="inlineStr">
        <is>
          <t>LOC-05</t>
        </is>
      </c>
      <c r="B8" s="5" t="inlineStr">
        <is>
          <t xml:space="preserve">ANDAIMES FACHADEIROS NR-18 E PLATAFORMA </t>
        </is>
      </c>
      <c r="C8" s="5" t="inlineStr">
        <is>
          <t>EQ-11 (200m² Andaimes Fachadeiros T</t>
        </is>
      </c>
      <c r="D8" s="5" t="inlineStr">
        <is>
          <t>Loxam Degrau Locação de Equipamentos e Plataformas S.A.</t>
        </is>
      </c>
      <c r="E8" s="4" t="inlineStr">
        <is>
          <t>CC-403</t>
        </is>
      </c>
      <c r="F8" s="4" t="inlineStr">
        <is>
          <t>1.3.4, 2.2.7, 2.3.1</t>
        </is>
      </c>
      <c r="G8" s="4" t="inlineStr">
        <is>
          <t>20/11/2026</t>
        </is>
      </c>
      <c r="H8" s="4" t="inlineStr">
        <is>
          <t>20/02/2027</t>
        </is>
      </c>
      <c r="I8" s="4" t="inlineStr">
        <is>
          <t>3 Meses</t>
        </is>
      </c>
      <c r="J8" s="6" t="n">
        <v>7266.67</v>
      </c>
      <c r="K8" s="7" t="n">
        <v>21800</v>
      </c>
    </row>
    <row r="9" ht="20" customHeight="1">
      <c r="A9" s="8" t="inlineStr">
        <is>
          <t>LOC-06</t>
        </is>
      </c>
      <c r="B9" s="9" t="inlineStr">
        <is>
          <t>EQUIPAMENTOS MECÂNICOS DE PRODUÇÃO, TEST</t>
        </is>
      </c>
      <c r="C9" s="9" t="inlineStr">
        <is>
          <t>EQ-08 (Compactador Sapo), EQ-09 (Be</t>
        </is>
      </c>
      <c r="D9" s="9" t="inlineStr">
        <is>
          <t>Casa do Construtor Locação de Ferramentas</t>
        </is>
      </c>
      <c r="E9" s="8" t="inlineStr">
        <is>
          <t>CC-106, CC-201, CC-404, CC-405, CC-601, CC-608</t>
        </is>
      </c>
      <c r="F9" s="8" t="inlineStr">
        <is>
          <t>1.0.6, 1.1.2, 1.3.3, 1.5.2, 2.1.6, 2.3.4</t>
        </is>
      </c>
      <c r="G9" s="8" t="inlineStr">
        <is>
          <t>18/09/2026</t>
        </is>
      </c>
      <c r="H9" s="8" t="inlineStr">
        <is>
          <t>25/02/2027</t>
        </is>
      </c>
      <c r="I9" s="8" t="inlineStr">
        <is>
          <t>Sob Demanda</t>
        </is>
      </c>
      <c r="J9" s="10" t="n">
        <v>4530</v>
      </c>
      <c r="K9" s="11" t="n">
        <v>22650</v>
      </c>
    </row>
    <row r="10" ht="24" customHeight="1">
      <c r="A10" s="12" t="inlineStr">
        <is>
          <t>TOTAL CONSOLIDADO DE LOCAÇÃO DE EQUIPAMENTOS: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>
        <f>SUM(J4:J9)</f>
        <v/>
      </c>
      <c r="K10" s="14">
        <f>SUM(K4:K9)</f>
        <v/>
      </c>
    </row>
  </sheetData>
  <mergeCells count="2">
    <mergeCell ref="A10:I1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2026-09-11T11:14:33Z</dcterms:created>
  <dcterms:modified xsi:type="dcterms:W3CDTF">2026-09-11T11:14:33Z</dcterms:modified>
</cp:coreProperties>
</file>