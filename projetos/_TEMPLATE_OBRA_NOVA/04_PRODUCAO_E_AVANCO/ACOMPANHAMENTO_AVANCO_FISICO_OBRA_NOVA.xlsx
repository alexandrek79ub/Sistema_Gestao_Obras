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S e SPI" sheetId="1" state="visible" r:id="rId1"/>
    <sheet name="Avanço Físico E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9"/>
    </font>
    <font>
      <name val="Calibri"/>
      <color rgb="00333333"/>
      <sz val="9"/>
    </font>
    <font>
      <name val="Calibri"/>
      <b val="1"/>
      <color rgb="00137333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8F9FA"/>
        <bgColor rgb="00F8F9FA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0" fillId="4" borderId="1" pivotButton="0" quotePrefix="0" xfId="0"/>
    <xf numFmtId="2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10" fontId="4" fillId="0" borderId="1" applyAlignment="1" pivotButton="0" quotePrefix="0" xfId="0">
      <alignment horizontal="right"/>
    </xf>
    <xf numFmtId="0" fontId="4" fillId="4" borderId="1" pivotButton="0" quotePrefix="0" xfId="0"/>
    <xf numFmtId="10" fontId="4" fillId="4" borderId="1" applyAlignment="1" pivotButton="0" quotePrefix="0" xfId="0">
      <alignment horizontal="right"/>
    </xf>
    <xf numFmtId="0" fontId="4" fillId="0" borderId="2" pivotButton="0" quotePrefix="0" xfId="0"/>
    <xf numFmtId="0" fontId="0" fillId="0" borderId="2" pivotButton="0" quotePrefix="0" xfId="0"/>
    <xf numFmtId="164" fontId="4" fillId="0" borderId="2" pivotButton="0" quotePrefix="0" xfId="0"/>
    <xf numFmtId="10" fontId="6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20" customWidth="1" min="5" max="5"/>
    <col width="18" customWidth="1" min="6" max="6"/>
    <col width="15" customWidth="1" min="7" max="7"/>
    <col width="22" customWidth="1" min="8" max="8"/>
  </cols>
  <sheetData>
    <row r="1" ht="28" customHeight="1">
      <c r="A1" s="1" t="inlineStr">
        <is>
          <t>ACOMPANHAMENTO DE AVANÇO FÍSICO E CURVA S — NOME DO EMPREENDIMENTO OU OBRA NOVA</t>
        </is>
      </c>
    </row>
    <row r="2" ht="18" customHeight="1">
      <c r="A2" s="2" t="inlineStr">
        <is>
          <t>Linha de Base 01 vs Avanço Físico Real Medido e Índice de Desempenho de Prazo (SPI)</t>
        </is>
      </c>
    </row>
    <row r="3" ht="28" customHeight="1">
      <c r="A3" s="3" t="inlineStr">
        <is>
          <t>Quinzena</t>
        </is>
      </c>
      <c r="B3" s="3" t="inlineStr">
        <is>
          <t>Mês</t>
        </is>
      </c>
      <c r="C3" s="3" t="inlineStr">
        <is>
          <t>Período Executivo</t>
        </is>
      </c>
      <c r="D3" s="3" t="inlineStr">
        <is>
          <t>% Previsto Quinzena</t>
        </is>
      </c>
      <c r="E3" s="3" t="inlineStr">
        <is>
          <t>% Previsto Acumulado</t>
        </is>
      </c>
      <c r="F3" s="3" t="inlineStr">
        <is>
          <t>% Real Acumulado</t>
        </is>
      </c>
      <c r="G3" s="3" t="inlineStr">
        <is>
          <t>SPI (Prazo)</t>
        </is>
      </c>
      <c r="H3" s="3" t="inlineStr">
        <is>
          <t>Status de Prazo</t>
        </is>
      </c>
    </row>
    <row r="4">
      <c r="A4" s="4" t="inlineStr">
        <is>
          <t>Q01</t>
        </is>
      </c>
      <c r="B4" s="4" t="inlineStr">
        <is>
          <t>Mês 1</t>
        </is>
      </c>
      <c r="C4" s="4" t="inlineStr">
        <is>
          <t>22/09 a 06/10</t>
        </is>
      </c>
      <c r="D4" s="5" t="n">
        <v>0.045</v>
      </c>
      <c r="E4" s="6" t="n">
        <v>0.045</v>
      </c>
      <c r="F4" s="6" t="n">
        <v>0.042</v>
      </c>
      <c r="G4" s="7">
        <f>IF(F4&gt;0, F4/E4, "")</f>
        <v/>
      </c>
      <c r="H4" s="8">
        <f>IF(G4="", "Não Iniciado", IF(G4&gt;=0.95, "No Prazo (Verde)", IF(G4&gt;=0.85, "Atenção (Amarelo)", "Atrasado (Vermelho)")))</f>
        <v/>
      </c>
    </row>
    <row r="5">
      <c r="A5" s="9" t="inlineStr">
        <is>
          <t>Q02</t>
        </is>
      </c>
      <c r="B5" s="9" t="inlineStr">
        <is>
          <t>Mês 1</t>
        </is>
      </c>
      <c r="C5" s="9" t="inlineStr">
        <is>
          <t>07/10 a 21/10</t>
        </is>
      </c>
      <c r="D5" s="10" t="n">
        <v>0.075</v>
      </c>
      <c r="E5" s="11" t="n">
        <v>0.12</v>
      </c>
      <c r="F5" s="12" t="inlineStr"/>
      <c r="G5" s="13">
        <f>IF(F5&gt;0, F5/E5, "")</f>
        <v/>
      </c>
      <c r="H5" s="14">
        <f>IF(G5="", "Não Iniciado", IF(G5&gt;=0.95, "No Prazo (Verde)", IF(G5&gt;=0.85, "Atenção (Amarelo)", "Atrasado (Vermelho)")))</f>
        <v/>
      </c>
    </row>
    <row r="6">
      <c r="A6" s="4" t="inlineStr">
        <is>
          <t>Q03</t>
        </is>
      </c>
      <c r="B6" s="4" t="inlineStr">
        <is>
          <t>Mês 2</t>
        </is>
      </c>
      <c r="C6" s="4" t="inlineStr">
        <is>
          <t>22/10 a 05/11</t>
        </is>
      </c>
      <c r="D6" s="5" t="n">
        <v>0.1</v>
      </c>
      <c r="E6" s="6" t="n">
        <v>0.22</v>
      </c>
      <c r="F6" s="15" t="inlineStr"/>
      <c r="G6" s="7">
        <f>IF(F6&gt;0, F6/E6, "")</f>
        <v/>
      </c>
      <c r="H6" s="8">
        <f>IF(G6="", "Não Iniciado", IF(G6&gt;=0.95, "No Prazo (Verde)", IF(G6&gt;=0.85, "Atenção (Amarelo)", "Atrasado (Vermelho)")))</f>
        <v/>
      </c>
    </row>
    <row r="7">
      <c r="A7" s="9" t="inlineStr">
        <is>
          <t>Q04</t>
        </is>
      </c>
      <c r="B7" s="9" t="inlineStr">
        <is>
          <t>Mês 2</t>
        </is>
      </c>
      <c r="C7" s="9" t="inlineStr">
        <is>
          <t>06/11 a 20/11</t>
        </is>
      </c>
      <c r="D7" s="10" t="n">
        <v>0.12</v>
      </c>
      <c r="E7" s="11" t="n">
        <v>0.34</v>
      </c>
      <c r="F7" s="12" t="inlineStr"/>
      <c r="G7" s="13">
        <f>IF(F7&gt;0, F7/E7, "")</f>
        <v/>
      </c>
      <c r="H7" s="14">
        <f>IF(G7="", "Não Iniciado", IF(G7&gt;=0.95, "No Prazo (Verde)", IF(G7&gt;=0.85, "Atenção (Amarelo)", "Atrasado (Vermelho)")))</f>
        <v/>
      </c>
    </row>
    <row r="8">
      <c r="A8" s="4" t="inlineStr">
        <is>
          <t>Q05</t>
        </is>
      </c>
      <c r="B8" s="4" t="inlineStr">
        <is>
          <t>Mês 3</t>
        </is>
      </c>
      <c r="C8" s="4" t="inlineStr">
        <is>
          <t>21/11 a 05/12</t>
        </is>
      </c>
      <c r="D8" s="5" t="n">
        <v>0.13</v>
      </c>
      <c r="E8" s="6" t="n">
        <v>0.47</v>
      </c>
      <c r="F8" s="15" t="inlineStr"/>
      <c r="G8" s="7">
        <f>IF(F8&gt;0, F8/E8, "")</f>
        <v/>
      </c>
      <c r="H8" s="8">
        <f>IF(G8="", "Não Iniciado", IF(G8&gt;=0.95, "No Prazo (Verde)", IF(G8&gt;=0.85, "Atenção (Amarelo)", "Atrasado (Vermelho)")))</f>
        <v/>
      </c>
    </row>
    <row r="9">
      <c r="A9" s="9" t="inlineStr">
        <is>
          <t>Q06</t>
        </is>
      </c>
      <c r="B9" s="9" t="inlineStr">
        <is>
          <t>Mês 3</t>
        </is>
      </c>
      <c r="C9" s="9" t="inlineStr">
        <is>
          <t>06/12 a 20/12</t>
        </is>
      </c>
      <c r="D9" s="10" t="n">
        <v>0.13</v>
      </c>
      <c r="E9" s="11" t="n">
        <v>0.6</v>
      </c>
      <c r="F9" s="12" t="inlineStr"/>
      <c r="G9" s="13">
        <f>IF(F9&gt;0, F9/E9, "")</f>
        <v/>
      </c>
      <c r="H9" s="14">
        <f>IF(G9="", "Não Iniciado", IF(G9&gt;=0.95, "No Prazo (Verde)", IF(G9&gt;=0.85, "Atenção (Amarelo)", "Atrasado (Vermelho)")))</f>
        <v/>
      </c>
    </row>
    <row r="10">
      <c r="A10" s="4" t="inlineStr">
        <is>
          <t>Q07</t>
        </is>
      </c>
      <c r="B10" s="4" t="inlineStr">
        <is>
          <t>Mês 4</t>
        </is>
      </c>
      <c r="C10" s="4" t="inlineStr">
        <is>
          <t>21/12 a 05/01</t>
        </is>
      </c>
      <c r="D10" s="5" t="n">
        <v>0.1</v>
      </c>
      <c r="E10" s="6" t="n">
        <v>0.7</v>
      </c>
      <c r="F10" s="15" t="inlineStr"/>
      <c r="G10" s="7">
        <f>IF(F10&gt;0, F10/E10, "")</f>
        <v/>
      </c>
      <c r="H10" s="8">
        <f>IF(G10="", "Não Iniciado", IF(G10&gt;=0.95, "No Prazo (Verde)", IF(G10&gt;=0.85, "Atenção (Amarelo)", "Atrasado (Vermelho)")))</f>
        <v/>
      </c>
    </row>
    <row r="11">
      <c r="A11" s="9" t="inlineStr">
        <is>
          <t>Q08</t>
        </is>
      </c>
      <c r="B11" s="9" t="inlineStr">
        <is>
          <t>Mês 4</t>
        </is>
      </c>
      <c r="C11" s="9" t="inlineStr">
        <is>
          <t>06/01 a 20/01</t>
        </is>
      </c>
      <c r="D11" s="10" t="n">
        <v>0.09</v>
      </c>
      <c r="E11" s="11" t="n">
        <v>0.79</v>
      </c>
      <c r="F11" s="12" t="inlineStr"/>
      <c r="G11" s="13">
        <f>IF(F11&gt;0, F11/E11, "")</f>
        <v/>
      </c>
      <c r="H11" s="14">
        <f>IF(G11="", "Não Iniciado", IF(G11&gt;=0.95, "No Prazo (Verde)", IF(G11&gt;=0.85, "Atenção (Amarelo)", "Atrasado (Vermelho)")))</f>
        <v/>
      </c>
    </row>
    <row r="12">
      <c r="A12" s="4" t="inlineStr">
        <is>
          <t>Q09</t>
        </is>
      </c>
      <c r="B12" s="4" t="inlineStr">
        <is>
          <t>Mês 5</t>
        </is>
      </c>
      <c r="C12" s="4" t="inlineStr">
        <is>
          <t>21/01 a 04/02</t>
        </is>
      </c>
      <c r="D12" s="5" t="n">
        <v>0.08</v>
      </c>
      <c r="E12" s="6" t="n">
        <v>0.87</v>
      </c>
      <c r="F12" s="15" t="inlineStr"/>
      <c r="G12" s="7">
        <f>IF(F12&gt;0, F12/E12, "")</f>
        <v/>
      </c>
      <c r="H12" s="8">
        <f>IF(G12="", "Não Iniciado", IF(G12&gt;=0.95, "No Prazo (Verde)", IF(G12&gt;=0.85, "Atenção (Amarelo)", "Atrasado (Vermelho)")))</f>
        <v/>
      </c>
    </row>
    <row r="13">
      <c r="A13" s="9" t="inlineStr">
        <is>
          <t>Q10</t>
        </is>
      </c>
      <c r="B13" s="9" t="inlineStr">
        <is>
          <t>Mês 5</t>
        </is>
      </c>
      <c r="C13" s="9" t="inlineStr">
        <is>
          <t>05/02 a 19/02</t>
        </is>
      </c>
      <c r="D13" s="10" t="n">
        <v>0.06</v>
      </c>
      <c r="E13" s="11" t="n">
        <v>0.93</v>
      </c>
      <c r="F13" s="12" t="inlineStr"/>
      <c r="G13" s="13">
        <f>IF(F13&gt;0, F13/E13, "")</f>
        <v/>
      </c>
      <c r="H13" s="14">
        <f>IF(G13="", "Não Iniciado", IF(G13&gt;=0.95, "No Prazo (Verde)", IF(G13&gt;=0.85, "Atenção (Amarelo)", "Atrasado (Vermelho)")))</f>
        <v/>
      </c>
    </row>
    <row r="14">
      <c r="A14" s="4" t="inlineStr">
        <is>
          <t>Q11</t>
        </is>
      </c>
      <c r="B14" s="4" t="inlineStr">
        <is>
          <t>Mês 6</t>
        </is>
      </c>
      <c r="C14" s="4" t="inlineStr">
        <is>
          <t>20/02 a 06/03</t>
        </is>
      </c>
      <c r="D14" s="5" t="n">
        <v>0.045</v>
      </c>
      <c r="E14" s="6" t="n">
        <v>0.975</v>
      </c>
      <c r="F14" s="15" t="inlineStr"/>
      <c r="G14" s="7">
        <f>IF(F14&gt;0, F14/E14, "")</f>
        <v/>
      </c>
      <c r="H14" s="8">
        <f>IF(G14="", "Não Iniciado", IF(G14&gt;=0.95, "No Prazo (Verde)", IF(G14&gt;=0.85, "Atenção (Amarelo)", "Atrasado (Vermelho)")))</f>
        <v/>
      </c>
    </row>
    <row r="15">
      <c r="A15" s="9" t="inlineStr">
        <is>
          <t>Q12</t>
        </is>
      </c>
      <c r="B15" s="9" t="inlineStr">
        <is>
          <t>Mês 6</t>
        </is>
      </c>
      <c r="C15" s="9" t="inlineStr">
        <is>
          <t>07/03 a 22/03</t>
        </is>
      </c>
      <c r="D15" s="10" t="n">
        <v>0.025</v>
      </c>
      <c r="E15" s="11" t="n">
        <v>1</v>
      </c>
      <c r="F15" s="12" t="inlineStr"/>
      <c r="G15" s="13">
        <f>IF(F15&gt;0, F15/E15, "")</f>
        <v/>
      </c>
      <c r="H15" s="14">
        <f>IF(G15="", "Não Iniciado", IF(G15&gt;=0.95, "No Prazo (Verde)", IF(G15&gt;=0.85, "Atenção (Amarelo)", "Atrasado (Vermelho)")))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8" customWidth="1" min="4" max="4"/>
    <col width="18" customWidth="1" min="5" max="5"/>
    <col width="22" customWidth="1" min="6" max="6"/>
    <col width="20" customWidth="1" min="7" max="7"/>
  </cols>
  <sheetData>
    <row r="1" ht="28" customHeight="1">
      <c r="A1" s="1" t="inlineStr">
        <is>
          <t>AVANÇO FÍSICO POR DISCIPLINA DA EAP — OBRA_NOVA</t>
        </is>
      </c>
    </row>
    <row r="3" ht="28" customHeight="1">
      <c r="A3" s="3" t="inlineStr">
        <is>
          <t>Código EAP</t>
        </is>
      </c>
      <c r="B3" s="3" t="inlineStr">
        <is>
          <t>Disciplina Executiva da Obra</t>
        </is>
      </c>
      <c r="C3" s="3" t="inlineStr">
        <is>
          <t>Peso no Orçamento</t>
        </is>
      </c>
      <c r="D3" s="3" t="inlineStr">
        <is>
          <t>% Previsto Período</t>
        </is>
      </c>
      <c r="E3" s="3" t="inlineStr">
        <is>
          <t>% Real Concluído</t>
        </is>
      </c>
      <c r="F3" s="3" t="inlineStr">
        <is>
          <t>Contribuição Real Total</t>
        </is>
      </c>
      <c r="G3" s="3" t="inlineStr">
        <is>
          <t>Status de Conclusão</t>
        </is>
      </c>
    </row>
    <row r="4">
      <c r="A4" s="4" t="inlineStr">
        <is>
          <t>1.0</t>
        </is>
      </c>
      <c r="B4" s="16" t="inlineStr">
        <is>
          <t>Administração Local e Canteiro Provisório</t>
        </is>
      </c>
      <c r="C4" s="5" t="n">
        <v>0.185</v>
      </c>
      <c r="D4" s="5" t="n">
        <v>1</v>
      </c>
      <c r="E4" s="6" t="n">
        <v>0.2</v>
      </c>
      <c r="F4" s="17">
        <f>C4*E4</f>
        <v/>
      </c>
      <c r="G4" s="4">
        <f>IF(E4&gt;=1, "Concluído", IF(E4&gt;0, "Em Andamento", "Não Iniciado"))</f>
        <v/>
      </c>
    </row>
    <row r="5">
      <c r="A5" s="9" t="inlineStr">
        <is>
          <t>1.1</t>
        </is>
      </c>
      <c r="B5" s="18" t="inlineStr">
        <is>
          <t>Infraestrutura (Fundações e Baldrames)</t>
        </is>
      </c>
      <c r="C5" s="10" t="n">
        <v>0.12</v>
      </c>
      <c r="D5" s="10" t="n">
        <v>1</v>
      </c>
      <c r="E5" s="11" t="n">
        <v>0.35</v>
      </c>
      <c r="F5" s="19">
        <f>C5*E5</f>
        <v/>
      </c>
      <c r="G5" s="9">
        <f>IF(E5&gt;=1, "Concluído", IF(E5&gt;0, "Em Andamento", "Não Iniciado"))</f>
        <v/>
      </c>
    </row>
    <row r="6">
      <c r="A6" s="4" t="inlineStr">
        <is>
          <t>1.2</t>
        </is>
      </c>
      <c r="B6" s="16" t="inlineStr">
        <is>
          <t>Supraestrutura (Pilares, Vigas e Lajes)</t>
        </is>
      </c>
      <c r="C6" s="5" t="n">
        <v>0.165</v>
      </c>
      <c r="D6" s="5" t="n">
        <v>0</v>
      </c>
      <c r="E6" s="6" t="n">
        <v>0</v>
      </c>
      <c r="F6" s="17">
        <f>C6*E6</f>
        <v/>
      </c>
      <c r="G6" s="4">
        <f>IF(E6&gt;=1, "Concluído", IF(E6&gt;0, "Em Andamento", "Não Iniciado"))</f>
        <v/>
      </c>
    </row>
    <row r="7">
      <c r="A7" s="9" t="inlineStr">
        <is>
          <t>2.1</t>
        </is>
      </c>
      <c r="B7" s="18" t="inlineStr">
        <is>
          <t>Alvenaria e Vedações Verticais</t>
        </is>
      </c>
      <c r="C7" s="10" t="n">
        <v>0.08500000000000001</v>
      </c>
      <c r="D7" s="10" t="n">
        <v>0</v>
      </c>
      <c r="E7" s="11" t="n">
        <v>0</v>
      </c>
      <c r="F7" s="19">
        <f>C7*E7</f>
        <v/>
      </c>
      <c r="G7" s="9">
        <f>IF(E7&gt;=1, "Concluído", IF(E7&gt;0, "Em Andamento", "Não Iniciado"))</f>
        <v/>
      </c>
    </row>
    <row r="8">
      <c r="A8" s="4" t="inlineStr">
        <is>
          <t>2.2</t>
        </is>
      </c>
      <c r="B8" s="16" t="inlineStr">
        <is>
          <t>Revestimentos, Pisos e Pintura</t>
        </is>
      </c>
      <c r="C8" s="5" t="n">
        <v>0.145</v>
      </c>
      <c r="D8" s="5" t="n">
        <v>0</v>
      </c>
      <c r="E8" s="6" t="n">
        <v>0</v>
      </c>
      <c r="F8" s="17">
        <f>C8*E8</f>
        <v/>
      </c>
      <c r="G8" s="4">
        <f>IF(E8&gt;=1, "Concluído", IF(E8&gt;0, "Em Andamento", "Não Iniciado"))</f>
        <v/>
      </c>
    </row>
    <row r="9">
      <c r="A9" s="9" t="inlineStr">
        <is>
          <t>2.3</t>
        </is>
      </c>
      <c r="B9" s="18" t="inlineStr">
        <is>
          <t>Esquadrias Metálicas e Vidros</t>
        </is>
      </c>
      <c r="C9" s="10" t="n">
        <v>0.05</v>
      </c>
      <c r="D9" s="10" t="n">
        <v>0</v>
      </c>
      <c r="E9" s="11" t="n">
        <v>0</v>
      </c>
      <c r="F9" s="19">
        <f>C9*E9</f>
        <v/>
      </c>
      <c r="G9" s="9">
        <f>IF(E9&gt;=1, "Concluído", IF(E9&gt;0, "Em Andamento", "Não Iniciado"))</f>
        <v/>
      </c>
    </row>
    <row r="10">
      <c r="A10" s="4" t="inlineStr">
        <is>
          <t>2.4</t>
        </is>
      </c>
      <c r="B10" s="16" t="inlineStr">
        <is>
          <t>Cobertura Termoacústica e Calhas</t>
        </is>
      </c>
      <c r="C10" s="5" t="n">
        <v>0.065</v>
      </c>
      <c r="D10" s="5" t="n">
        <v>0</v>
      </c>
      <c r="E10" s="6" t="n">
        <v>0</v>
      </c>
      <c r="F10" s="17">
        <f>C10*E10</f>
        <v/>
      </c>
      <c r="G10" s="4">
        <f>IF(E10&gt;=1, "Concluído", IF(E10&gt;0, "Em Andamento", "Não Iniciado"))</f>
        <v/>
      </c>
    </row>
    <row r="11">
      <c r="A11" s="9" t="inlineStr">
        <is>
          <t>3.1</t>
        </is>
      </c>
      <c r="B11" s="18" t="inlineStr">
        <is>
          <t>Instalações Elétricas e SPDA</t>
        </is>
      </c>
      <c r="C11" s="10" t="n">
        <v>0.08</v>
      </c>
      <c r="D11" s="10" t="n">
        <v>0</v>
      </c>
      <c r="E11" s="11" t="n">
        <v>0</v>
      </c>
      <c r="F11" s="19">
        <f>C11*E11</f>
        <v/>
      </c>
      <c r="G11" s="9">
        <f>IF(E11&gt;=1, "Concluído", IF(E11&gt;0, "Em Andamento", "Não Iniciado"))</f>
        <v/>
      </c>
    </row>
    <row r="12">
      <c r="A12" s="4" t="inlineStr">
        <is>
          <t>3.2</t>
        </is>
      </c>
      <c r="B12" s="16" t="inlineStr">
        <is>
          <t>Instalações Hidráulicas e Esgoto</t>
        </is>
      </c>
      <c r="C12" s="5" t="n">
        <v>0.065</v>
      </c>
      <c r="D12" s="5" t="n">
        <v>0</v>
      </c>
      <c r="E12" s="6" t="n">
        <v>0</v>
      </c>
      <c r="F12" s="17">
        <f>C12*E12</f>
        <v/>
      </c>
      <c r="G12" s="4">
        <f>IF(E12&gt;=1, "Concluído", IF(E12&gt;0, "Em Andamento", "Não Iniciado"))</f>
        <v/>
      </c>
    </row>
    <row r="13">
      <c r="A13" s="9" t="inlineStr">
        <is>
          <t>3.3</t>
        </is>
      </c>
      <c r="B13" s="18" t="inlineStr">
        <is>
          <t>Climatização HVAC e Exaustão</t>
        </is>
      </c>
      <c r="C13" s="10" t="n">
        <v>0.04</v>
      </c>
      <c r="D13" s="10" t="n">
        <v>0</v>
      </c>
      <c r="E13" s="11" t="n">
        <v>0</v>
      </c>
      <c r="F13" s="19">
        <f>C13*E13</f>
        <v/>
      </c>
      <c r="G13" s="9">
        <f>IF(E13&gt;=1, "Concluído", IF(E13&gt;0, "Em Andamento", "Não Iniciado"))</f>
        <v/>
      </c>
    </row>
    <row r="14">
      <c r="A14" s="20" t="inlineStr">
        <is>
          <t>TOTAL OBRA</t>
        </is>
      </c>
      <c r="B14" s="21" t="n"/>
      <c r="C14" s="22">
        <f>SUM(C4:C13)</f>
        <v/>
      </c>
      <c r="D14" s="21" t="n"/>
      <c r="E14" s="21" t="n"/>
      <c r="F14" s="23">
        <f>SUM(F4:F13)</f>
        <v/>
      </c>
      <c r="G14" s="21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2026-09-13T16:55:13Z</dcterms:created>
  <dcterms:modified xsi:type="dcterms:W3CDTF">2026-09-13T16:55:13Z</dcterms:modified>
</cp:coreProperties>
</file>