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Fluxo Analítico" sheetId="2" state="visible" r:id="rId2"/>
    <sheet name="Cenários de Sensibilid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365D"/>
      <sz val="11"/>
    </font>
    <font>
      <name val="Calibri"/>
      <b val="1"/>
      <color rgb="00137333"/>
      <sz val="11"/>
    </font>
    <font>
      <name val="Calibri"/>
      <b val="1"/>
      <color rgb="00C5221F"/>
      <sz val="1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9B26"/>
        <bgColor rgb="00D99B26"/>
      </patternFill>
    </fill>
    <fill>
      <patternFill patternType="solid">
        <fgColor rgb="00F4F6F9"/>
        <bgColor rgb="00F4F6F9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  <fill>
      <patternFill patternType="solid">
        <fgColor rgb="00E8EEF5"/>
        <bgColor rgb="00E8EEF5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164" fontId="0" fillId="0" borderId="1" applyAlignment="1" pivotButton="0" quotePrefix="0" xfId="0">
      <alignment horizontal="right"/>
    </xf>
    <xf numFmtId="0" fontId="3" fillId="4" borderId="1" pivotButton="0" quotePrefix="0" xfId="0"/>
    <xf numFmtId="164" fontId="0" fillId="4" borderId="1" applyAlignment="1" pivotButton="0" quotePrefix="0" xfId="0">
      <alignment horizontal="right"/>
    </xf>
    <xf numFmtId="0" fontId="4" fillId="5" borderId="1" pivotButton="0" quotePrefix="0" xfId="0"/>
    <xf numFmtId="164" fontId="5" fillId="5" borderId="1" applyAlignment="1" pivotButton="0" quotePrefix="0" xfId="0">
      <alignment horizontal="right"/>
    </xf>
    <xf numFmtId="10" fontId="0" fillId="4" borderId="1" applyAlignment="1" pivotButton="0" quotePrefix="0" xfId="0">
      <alignment horizontal="right"/>
    </xf>
    <xf numFmtId="0" fontId="4" fillId="6" borderId="1" pivotButton="0" quotePrefix="0" xfId="0"/>
    <xf numFmtId="164" fontId="6" fillId="6" borderId="1" applyAlignment="1" pivotButton="0" quotePrefix="0" xfId="0">
      <alignment horizontal="right"/>
    </xf>
    <xf numFmtId="49" fontId="0" fillId="0" borderId="1" applyAlignment="1" pivotButton="0" quotePrefix="0" xfId="0">
      <alignment horizontal="right"/>
    </xf>
    <xf numFmtId="49" fontId="0" fillId="4" borderId="1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pivotButton="0" quotePrefix="0" xfId="0"/>
    <xf numFmtId="164" fontId="6" fillId="0" borderId="1" pivotButton="0" quotePrefix="0" xfId="0"/>
    <xf numFmtId="0" fontId="3" fillId="4" borderId="1" applyAlignment="1" pivotButton="0" quotePrefix="0" xfId="0">
      <alignment horizontal="center"/>
    </xf>
    <xf numFmtId="164" fontId="3" fillId="4" borderId="1" pivotButton="0" quotePrefix="0" xfId="0"/>
    <xf numFmtId="164" fontId="6" fillId="4" borderId="1" pivotButton="0" quotePrefix="0" xfId="0"/>
    <xf numFmtId="0" fontId="4" fillId="5" borderId="2" applyAlignment="1" pivotButton="0" quotePrefix="0" xfId="0">
      <alignment horizontal="center"/>
    </xf>
    <xf numFmtId="164" fontId="4" fillId="5" borderId="2" pivotButton="0" quotePrefix="0" xfId="0"/>
    <xf numFmtId="0" fontId="4" fillId="7" borderId="1" pivotButton="0" quotePrefix="0" xfId="0"/>
    <xf numFmtId="0" fontId="0" fillId="4" borderId="1" applyAlignment="1" pivotButton="0" quotePrefix="0" xfId="0">
      <alignment horizontal="center"/>
    </xf>
    <xf numFmtId="164" fontId="4" fillId="4" borderId="1" pivotButton="0" quotePrefix="0" xfId="0"/>
    <xf numFmtId="0" fontId="0" fillId="0" borderId="1" applyAlignment="1" pivotButton="0" quotePrefix="0" xfId="0">
      <alignment horizontal="center"/>
    </xf>
    <xf numFmtId="164" fontId="4" fillId="0" borderId="1" pivotButton="0" quotePrefix="0" xfId="0"/>
    <xf numFmtId="0" fontId="0" fillId="5" borderId="1" applyAlignment="1" pivotButton="0" quotePrefix="0" xfId="0">
      <alignment horizontal="center"/>
    </xf>
    <xf numFmtId="164" fontId="4" fillId="5" borderId="1" pivotButton="0" quotePrefix="0" xfId="0"/>
    <xf numFmtId="0" fontId="4" fillId="4" borderId="1" pivotButton="0" quotePrefix="0" xfId="0"/>
    <xf numFmtId="0" fontId="4" fillId="8" borderId="2" pivotButton="0" quotePrefix="0" xfId="0"/>
    <xf numFmtId="0" fontId="0" fillId="8" borderId="2" applyAlignment="1" pivotButton="0" quotePrefix="0" xfId="0">
      <alignment horizontal="center"/>
    </xf>
    <xf numFmtId="164" fontId="6" fillId="8" borderId="2" pivotButton="0" quotePrefix="0" xfId="0"/>
    <xf numFmtId="164" fontId="4" fillId="8" borderId="2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Curva de Balanço Financeiro (Saldo de Caixa Acumulado - Cenário Realista)</a:t>
            </a:r>
          </a:p>
        </rich>
      </tx>
    </title>
    <plotArea>
      <lineChart>
        <grouping val="standard"/>
        <ser>
          <idx val="0"/>
          <order val="0"/>
          <tx>
            <strRef>
              <f>'Resumo Executivo'!F17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 Executivo'!$B$18:$B$22</f>
            </numRef>
          </cat>
          <val>
            <numRef>
              <f>'Resumo Executivo'!$F$18:$F$22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Cronograma (Meses)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Saldo Acumulado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Entradas vs Saídas de Caixa por Mês (Inflows vs Outflows)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Executivo'!C17</f>
            </strRef>
          </tx>
          <spPr>
            <a:ln>
              <a:prstDash val="solid"/>
            </a:ln>
          </spPr>
          <cat>
            <numRef>
              <f>'Resumo Executivo'!$B$18:$B$22</f>
            </numRef>
          </cat>
          <val>
            <numRef>
              <f>'Resumo Executivo'!$C$18:$C$22</f>
            </numRef>
          </val>
        </ser>
        <ser>
          <idx val="1"/>
          <order val="1"/>
          <tx>
            <strRef>
              <f>'Resumo Executivo'!D17</f>
            </strRef>
          </tx>
          <spPr>
            <a:ln>
              <a:prstDash val="solid"/>
            </a:ln>
          </spPr>
          <cat>
            <numRef>
              <f>'Resumo Executivo'!$B$18:$B$22</f>
            </numRef>
          </cat>
          <val>
            <numRef>
              <f>'Resumo Executivo'!$D$18:$D$22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Mensal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18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3"/>
  <sheetViews>
    <sheetView showGridLines="1" workbookViewId="0">
      <selection activeCell="A1" sqref="A1"/>
    </sheetView>
  </sheetViews>
  <sheetFormatPr baseColWidth="8" defaultRowHeight="15"/>
  <cols>
    <col width="15" customWidth="1" min="2" max="2"/>
    <col width="18" customWidth="1" min="3" max="3"/>
    <col width="18" customWidth="1" min="4" max="4"/>
    <col width="18" customWidth="1" min="5" max="5"/>
    <col width="22" customWidth="1" min="6" max="6"/>
    <col width="10" customWidth="1" min="7" max="7"/>
    <col width="10" customWidth="1" min="8" max="8"/>
    <col width="10" customWidth="1" min="9" max="9"/>
  </cols>
  <sheetData>
    <row r="2" ht="35" customHeight="1">
      <c r="B2" s="1" t="inlineStr">
        <is>
          <t>RELATÓRIO FINANCEIRO EXECUTIVO — FLUXO DE CAIXA E CAPITAL DE GIRO</t>
        </is>
      </c>
    </row>
    <row r="3" ht="22" customHeight="1">
      <c r="B3" s="2" t="inlineStr">
        <is>
          <t>Empreendimento: Residencial Alpha — Condomínio Fechado | Prazo: 4 Meses (120 Dias) | Baseline 01</t>
        </is>
      </c>
    </row>
    <row r="5">
      <c r="B5" s="3" t="inlineStr">
        <is>
          <t>INDICADORES FINANCEIROS E PARÂMETROS DE LIQUIDEZ</t>
        </is>
      </c>
    </row>
    <row r="6">
      <c r="B6" s="4" t="inlineStr">
        <is>
          <t>Preço Global Turnkey da Obra</t>
        </is>
      </c>
      <c r="E6" s="5" t="n">
        <v>65433.62000000001</v>
      </c>
    </row>
    <row r="7">
      <c r="B7" s="6" t="inlineStr">
        <is>
          <t>Custo Direto Total da Obra</t>
        </is>
      </c>
      <c r="E7" s="7" t="n">
        <v>51453.67</v>
      </c>
    </row>
    <row r="8">
      <c r="B8" s="4" t="inlineStr">
        <is>
          <t>Total de Impostos s/ Faturamento (8,65%)</t>
        </is>
      </c>
      <c r="E8" s="5" t="n">
        <v>5660.02</v>
      </c>
    </row>
    <row r="9">
      <c r="B9" s="6" t="inlineStr">
        <is>
          <t>Despesas Administrativas Centrais BDI</t>
        </is>
      </c>
      <c r="E9" s="7" t="n">
        <v>3886.76</v>
      </c>
    </row>
    <row r="10">
      <c r="B10" s="8" t="inlineStr">
        <is>
          <t>Lucro Líquido Operacional Realizado</t>
        </is>
      </c>
      <c r="E10" s="9" t="n">
        <v>-139883.76</v>
      </c>
    </row>
    <row r="11">
      <c r="B11" s="6" t="inlineStr">
        <is>
          <t>Margem Líquida Realizada sobre Venda</t>
        </is>
      </c>
      <c r="E11" s="10" t="n">
        <v>-2.137796441645747</v>
      </c>
    </row>
    <row r="12">
      <c r="B12" s="4" t="inlineStr">
        <is>
          <t>Retenção Contratual Técnica (5,0%)</t>
        </is>
      </c>
      <c r="E12" s="5" t="n">
        <v>3271.69</v>
      </c>
    </row>
    <row r="13">
      <c r="B13" s="11" t="inlineStr">
        <is>
          <t>NECESSIDADE MÍNIMA DE CAPITAL DE GIRO</t>
        </is>
      </c>
      <c r="E13" s="12" t="n">
        <v>151380.48</v>
      </c>
    </row>
    <row r="14">
      <c r="B14" s="4" t="inlineStr">
        <is>
          <t>Mês de Máxima Exposição de Caixa</t>
        </is>
      </c>
      <c r="E14" s="13" t="inlineStr">
        <is>
          <t>Mês 4 (Pico da Envoltória)</t>
        </is>
      </c>
    </row>
    <row r="15">
      <c r="B15" s="6" t="inlineStr">
        <is>
          <t>Ponto de Equilíbrio do Caixa (Break-even)</t>
        </is>
      </c>
      <c r="E15" s="14" t="inlineStr">
        <is>
          <t>Mês 5 (Liquidação do TRD)</t>
        </is>
      </c>
    </row>
    <row r="17">
      <c r="B17" s="15" t="inlineStr">
        <is>
          <t>Período</t>
        </is>
      </c>
      <c r="C17" s="15" t="inlineStr">
        <is>
          <t>Entradas (R$)</t>
        </is>
      </c>
      <c r="D17" s="15" t="inlineStr">
        <is>
          <t>Saídas (R$)</t>
        </is>
      </c>
      <c r="E17" s="15" t="inlineStr">
        <is>
          <t>Saldo Mês (R$)</t>
        </is>
      </c>
      <c r="F17" s="15" t="inlineStr">
        <is>
          <t>Saldo Acumulado (R$)</t>
        </is>
      </c>
    </row>
    <row r="18">
      <c r="B18" s="16" t="inlineStr">
        <is>
          <t>Mês 1</t>
        </is>
      </c>
      <c r="C18" s="17" t="n">
        <v>0</v>
      </c>
      <c r="D18" s="17" t="n">
        <v>45547.68</v>
      </c>
      <c r="E18" s="17" t="n">
        <v>-45547.68</v>
      </c>
      <c r="F18" s="18" t="n">
        <v>-45547.68</v>
      </c>
    </row>
    <row r="19">
      <c r="B19" s="19" t="inlineStr">
        <is>
          <t>Mês 2</t>
        </is>
      </c>
      <c r="C19" s="20" t="n">
        <v>20602.78</v>
      </c>
      <c r="D19" s="20" t="n">
        <v>51790.28</v>
      </c>
      <c r="E19" s="20" t="n">
        <v>-31187.5</v>
      </c>
      <c r="F19" s="21" t="n">
        <v>-76735.17999999999</v>
      </c>
    </row>
    <row r="20">
      <c r="B20" s="16" t="inlineStr">
        <is>
          <t>Mês 3</t>
        </is>
      </c>
      <c r="C20" s="17" t="n">
        <v>13853.05</v>
      </c>
      <c r="D20" s="17" t="n">
        <v>51175.7</v>
      </c>
      <c r="E20" s="17" t="n">
        <v>-37322.65</v>
      </c>
      <c r="F20" s="18" t="n">
        <v>-114057.83</v>
      </c>
    </row>
    <row r="21">
      <c r="B21" s="19" t="inlineStr">
        <is>
          <t>Mês 4</t>
        </is>
      </c>
      <c r="C21" s="20" t="n">
        <v>13853.05</v>
      </c>
      <c r="D21" s="20" t="n">
        <v>51175.7</v>
      </c>
      <c r="E21" s="20" t="n">
        <v>-37322.65</v>
      </c>
      <c r="F21" s="21" t="n">
        <v>-151380.48</v>
      </c>
    </row>
    <row r="22">
      <c r="B22" s="16" t="inlineStr">
        <is>
          <t>Mês 5</t>
        </is>
      </c>
      <c r="C22" s="17" t="n">
        <v>17124.74</v>
      </c>
      <c r="D22" s="17" t="n">
        <v>5628.02</v>
      </c>
      <c r="E22" s="17" t="n">
        <v>11496.72</v>
      </c>
      <c r="F22" s="18" t="n">
        <v>-139883.76</v>
      </c>
    </row>
    <row r="23">
      <c r="B23" s="22" t="inlineStr">
        <is>
          <t>TOTAL GERAL</t>
        </is>
      </c>
      <c r="C23" s="23" t="n">
        <v>65433.62000000001</v>
      </c>
      <c r="D23" s="23" t="n">
        <v>205317.38</v>
      </c>
      <c r="E23" s="23" t="n">
        <v>-139883.76</v>
      </c>
      <c r="F23" s="23" t="n">
        <v>-139883.76</v>
      </c>
    </row>
  </sheetData>
  <mergeCells count="13">
    <mergeCell ref="B10:D10"/>
    <mergeCell ref="B11:D11"/>
    <mergeCell ref="B14:D14"/>
    <mergeCell ref="B15:D15"/>
    <mergeCell ref="B2:I2"/>
    <mergeCell ref="B8:D8"/>
    <mergeCell ref="B9:D9"/>
    <mergeCell ref="B3:I3"/>
    <mergeCell ref="B13:D13"/>
    <mergeCell ref="B5:E5"/>
    <mergeCell ref="B12:D12"/>
    <mergeCell ref="B7:D7"/>
    <mergeCell ref="B6:D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FLUXO DE CAIXA ANALÍTICO MENSAL — ENTRADAS, DESEMBOLSOS E BALANÇO (R$)</t>
        </is>
      </c>
    </row>
    <row r="2" ht="24" customHeight="1">
      <c r="A2" s="15" t="inlineStr">
        <is>
          <t>Conta / Rubrica Operacional</t>
        </is>
      </c>
      <c r="B2" s="15" t="inlineStr">
        <is>
          <t>Natureza Contábil</t>
        </is>
      </c>
      <c r="C2" s="15" t="inlineStr">
        <is>
          <t>Mês 1</t>
        </is>
      </c>
      <c r="D2" s="15" t="inlineStr">
        <is>
          <t>Mês 2</t>
        </is>
      </c>
      <c r="E2" s="15" t="inlineStr">
        <is>
          <t>Mês 3</t>
        </is>
      </c>
      <c r="F2" s="15" t="inlineStr">
        <is>
          <t>Mês 4</t>
        </is>
      </c>
      <c r="G2" s="15" t="inlineStr">
        <is>
          <t>Mês 5</t>
        </is>
      </c>
      <c r="H2" s="15" t="inlineStr">
        <is>
          <t>Total Global (R$)</t>
        </is>
      </c>
    </row>
    <row r="3">
      <c r="A3" s="24" t="inlineStr">
        <is>
          <t>1. ENTRADAS DE CAIXA (RECEBIMENTOS DE MEDIÇÕES)</t>
        </is>
      </c>
    </row>
    <row r="4">
      <c r="A4" s="6" t="inlineStr">
        <is>
          <t>1.1 Faturamento Bruto de Medições</t>
        </is>
      </c>
      <c r="B4" s="25" t="inlineStr">
        <is>
          <t>Medição EAP</t>
        </is>
      </c>
      <c r="C4" s="20" t="n">
        <v>21687.14</v>
      </c>
      <c r="D4" s="20" t="n">
        <v>14582.16</v>
      </c>
      <c r="E4" s="20" t="n">
        <v>14582.16</v>
      </c>
      <c r="F4" s="20" t="n">
        <v>14582.16</v>
      </c>
      <c r="G4" s="20" t="n">
        <v>0</v>
      </c>
      <c r="H4" s="26" t="n">
        <v>65433.62000000001</v>
      </c>
    </row>
    <row r="5">
      <c r="A5" s="4" t="inlineStr">
        <is>
          <t>1.2 Retenção Técnica Contratual (5,0%)</t>
        </is>
      </c>
      <c r="B5" s="27" t="inlineStr">
        <is>
          <t>Dedução Contratual</t>
        </is>
      </c>
      <c r="C5" s="17" t="n">
        <v>1084.36</v>
      </c>
      <c r="D5" s="17" t="n">
        <v>729.11</v>
      </c>
      <c r="E5" s="17" t="n">
        <v>729.11</v>
      </c>
      <c r="F5" s="17" t="n">
        <v>729.11</v>
      </c>
      <c r="G5" s="17" t="n">
        <v>0</v>
      </c>
      <c r="H5" s="28" t="n">
        <v>3271.69</v>
      </c>
    </row>
    <row r="6">
      <c r="A6" s="6" t="inlineStr">
        <is>
          <t>1.3 Faturamento Líquido de Medições (95%)</t>
        </is>
      </c>
      <c r="B6" s="25" t="inlineStr">
        <is>
          <t>Receita Faturada</t>
        </is>
      </c>
      <c r="C6" s="20" t="n">
        <v>20602.78</v>
      </c>
      <c r="D6" s="20" t="n">
        <v>13853.05</v>
      </c>
      <c r="E6" s="20" t="n">
        <v>13853.05</v>
      </c>
      <c r="F6" s="20" t="n">
        <v>13853.05</v>
      </c>
      <c r="G6" s="20" t="n">
        <v>0</v>
      </c>
      <c r="H6" s="26" t="n">
        <v>62161.93000000001</v>
      </c>
    </row>
    <row r="7">
      <c r="A7" s="4" t="inlineStr">
        <is>
          <t>1.4 Recebimento Efetivo de Medições (D+15)</t>
        </is>
      </c>
      <c r="B7" s="27" t="inlineStr">
        <is>
          <t>Inflow</t>
        </is>
      </c>
      <c r="C7" s="17" t="n">
        <v>0</v>
      </c>
      <c r="D7" s="17" t="n">
        <v>20602.78</v>
      </c>
      <c r="E7" s="17" t="n">
        <v>13853.05</v>
      </c>
      <c r="F7" s="17" t="n">
        <v>13853.05</v>
      </c>
      <c r="G7" s="17" t="n">
        <v>13853.05</v>
      </c>
      <c r="H7" s="28" t="n">
        <v>62161.93000000001</v>
      </c>
    </row>
    <row r="8">
      <c r="A8" s="6" t="inlineStr">
        <is>
          <t>1.5 Devolução da Retenção Técnica (TRD / Mês 5)</t>
        </is>
      </c>
      <c r="B8" s="25" t="inlineStr">
        <is>
          <t>Inflow</t>
        </is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3271.69</v>
      </c>
      <c r="H8" s="26" t="n">
        <v>3271.69</v>
      </c>
    </row>
    <row r="9">
      <c r="A9" s="8" t="inlineStr">
        <is>
          <t>TOTAL DE ENTRADAS DE CAIXA (A)</t>
        </is>
      </c>
      <c r="B9" s="29" t="inlineStr">
        <is>
          <t>Total Inflows</t>
        </is>
      </c>
      <c r="C9" s="30" t="n">
        <v>0</v>
      </c>
      <c r="D9" s="30" t="n">
        <v>20602.78</v>
      </c>
      <c r="E9" s="30" t="n">
        <v>13853.05</v>
      </c>
      <c r="F9" s="30" t="n">
        <v>13853.05</v>
      </c>
      <c r="G9" s="30" t="n">
        <v>17124.74</v>
      </c>
      <c r="H9" s="30" t="n">
        <v>65433.62000000001</v>
      </c>
    </row>
    <row r="10">
      <c r="A10" s="24" t="inlineStr">
        <is>
          <t>2. SAÍDAS DE CAIXA (DESEMBOLSOS DE PRODUÇÃO E GESTÃO)</t>
        </is>
      </c>
    </row>
    <row r="11">
      <c r="A11" s="4" t="inlineStr">
        <is>
          <t>2.1 Equipe Técnica de Gestão (Engenheiro Residente + Mestre + TST)</t>
        </is>
      </c>
      <c r="B11" s="27" t="inlineStr">
        <is>
          <t>MO Gestão</t>
        </is>
      </c>
      <c r="C11" s="17" t="n">
        <v>17200</v>
      </c>
      <c r="D11" s="17" t="n">
        <v>17200</v>
      </c>
      <c r="E11" s="17" t="n">
        <v>17200</v>
      </c>
      <c r="F11" s="17" t="n">
        <v>17200</v>
      </c>
      <c r="G11" s="17" t="n">
        <v>0</v>
      </c>
      <c r="H11" s="28" t="n">
        <v>68800</v>
      </c>
    </row>
    <row r="12">
      <c r="A12" s="6" t="inlineStr">
        <is>
          <t>2.2 Vivência, Alimentação (16 op.) e Logística de Transporte</t>
        </is>
      </c>
      <c r="B12" s="25" t="inlineStr">
        <is>
          <t>Vivência/Benefícios</t>
        </is>
      </c>
      <c r="C12" s="20" t="n">
        <v>23009.33</v>
      </c>
      <c r="D12" s="20" t="n">
        <v>23009.33</v>
      </c>
      <c r="E12" s="20" t="n">
        <v>23009.33</v>
      </c>
      <c r="F12" s="20" t="n">
        <v>23009.33</v>
      </c>
      <c r="G12" s="20" t="n">
        <v>0</v>
      </c>
      <c r="H12" s="26" t="n">
        <v>92037.32000000001</v>
      </c>
    </row>
    <row r="13">
      <c r="A13" s="4" t="inlineStr">
        <is>
          <t>2.3 Mão de Obra Direta de Campo (Serviços Físicos Civis/Instalações)</t>
        </is>
      </c>
      <c r="B13" s="27" t="inlineStr">
        <is>
          <t>MO Campo</t>
        </is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28" t="n">
        <v>0</v>
      </c>
    </row>
    <row r="14">
      <c r="A14" s="6" t="inlineStr">
        <is>
          <t>2.4 Materiais e Insumos Civis (Sinal / Entrada à Vista no Pedido)</t>
        </is>
      </c>
      <c r="B14" s="25" t="inlineStr">
        <is>
          <t>Material D0</t>
        </is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  <c r="H14" s="26" t="n">
        <v>0</v>
      </c>
    </row>
    <row r="15">
      <c r="A15" s="4" t="inlineStr">
        <is>
          <t>2.5 Materiais e Insumos Civis (Faturamento a Prazo D+30)</t>
        </is>
      </c>
      <c r="B15" s="27" t="inlineStr">
        <is>
          <t>Material D+30</t>
        </is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28" t="n">
        <v>0</v>
      </c>
    </row>
    <row r="16">
      <c r="A16" s="6" t="inlineStr">
        <is>
          <t>2.6 Locação de Containers NR-18 e Sanitários Químicos</t>
        </is>
      </c>
      <c r="B16" s="25" t="inlineStr">
        <is>
          <t>Equipamento</t>
        </is>
      </c>
      <c r="C16" s="20" t="n">
        <v>3191.66</v>
      </c>
      <c r="D16" s="20" t="n">
        <v>6383.32</v>
      </c>
      <c r="E16" s="20" t="n">
        <v>6383.32</v>
      </c>
      <c r="F16" s="20" t="n">
        <v>6383.32</v>
      </c>
      <c r="G16" s="20" t="n">
        <v>3191.66</v>
      </c>
      <c r="H16" s="26" t="n">
        <v>25533.28</v>
      </c>
    </row>
    <row r="17">
      <c r="A17" s="4" t="inlineStr">
        <is>
          <t>2.7 Contas de Consumo Provisórias (Energia, Água Pipa, Internet Fibra)</t>
        </is>
      </c>
      <c r="B17" s="27" t="inlineStr">
        <is>
          <t>Canteiro</t>
        </is>
      </c>
      <c r="C17" s="17" t="n">
        <v>1175</v>
      </c>
      <c r="D17" s="17" t="n">
        <v>2350</v>
      </c>
      <c r="E17" s="17" t="n">
        <v>2350</v>
      </c>
      <c r="F17" s="17" t="n">
        <v>2350</v>
      </c>
      <c r="G17" s="17" t="n">
        <v>1175</v>
      </c>
      <c r="H17" s="28" t="n">
        <v>9400</v>
      </c>
    </row>
    <row r="18">
      <c r="A18" s="6" t="inlineStr">
        <is>
          <t>2.8 Tributos sobre Faturamento (ISS, PIS, COFINS, CPRB - 8,65% NF)</t>
        </is>
      </c>
      <c r="B18" s="25" t="inlineStr">
        <is>
          <t>Tributos</t>
        </is>
      </c>
      <c r="C18" s="20" t="n">
        <v>0</v>
      </c>
      <c r="D18" s="20" t="n">
        <v>1875.94</v>
      </c>
      <c r="E18" s="20" t="n">
        <v>1261.36</v>
      </c>
      <c r="F18" s="20" t="n">
        <v>1261.36</v>
      </c>
      <c r="G18" s="20" t="n">
        <v>1261.36</v>
      </c>
      <c r="H18" s="26" t="n">
        <v>5660.02</v>
      </c>
    </row>
    <row r="19">
      <c r="A19" s="4" t="inlineStr">
        <is>
          <t>2.9 Custos Indiretos Centrais BDI (Administração Central, Seguros e DF)</t>
        </is>
      </c>
      <c r="B19" s="27" t="inlineStr">
        <is>
          <t>Indireto BDI</t>
        </is>
      </c>
      <c r="C19" s="17" t="n">
        <v>971.6900000000001</v>
      </c>
      <c r="D19" s="17" t="n">
        <v>971.6900000000001</v>
      </c>
      <c r="E19" s="17" t="n">
        <v>971.6900000000001</v>
      </c>
      <c r="F19" s="17" t="n">
        <v>971.6900000000001</v>
      </c>
      <c r="G19" s="17" t="n">
        <v>0</v>
      </c>
      <c r="H19" s="28" t="n">
        <v>3886.76</v>
      </c>
    </row>
    <row r="20">
      <c r="A20" s="31" t="inlineStr">
        <is>
          <t>TOTAL DE SAÍDAS DE CAIXA (B)</t>
        </is>
      </c>
      <c r="B20" s="25" t="inlineStr">
        <is>
          <t>Total Outflows</t>
        </is>
      </c>
      <c r="C20" s="26" t="n">
        <v>45547.68</v>
      </c>
      <c r="D20" s="26" t="n">
        <v>51790.28</v>
      </c>
      <c r="E20" s="26" t="n">
        <v>51175.7</v>
      </c>
      <c r="F20" s="26" t="n">
        <v>51175.7</v>
      </c>
      <c r="G20" s="26" t="n">
        <v>5628.02</v>
      </c>
      <c r="H20" s="26" t="n">
        <v>205317.38</v>
      </c>
    </row>
    <row r="21">
      <c r="A21" s="24" t="inlineStr">
        <is>
          <t>3. RESULTADO OPERACIONAL E SALDOS DE CAIXA</t>
        </is>
      </c>
    </row>
    <row r="22">
      <c r="A22" s="31" t="inlineStr">
        <is>
          <t>3.1 Saldo Operacional Líquido do Período (A - B)</t>
        </is>
      </c>
      <c r="B22" s="25" t="inlineStr">
        <is>
          <t>Resultado Líquido</t>
        </is>
      </c>
      <c r="C22" s="26" t="n">
        <v>-45547.68</v>
      </c>
      <c r="D22" s="26" t="n">
        <v>-31187.5</v>
      </c>
      <c r="E22" s="26" t="n">
        <v>-37322.65</v>
      </c>
      <c r="F22" s="26" t="n">
        <v>-37322.65</v>
      </c>
      <c r="G22" s="26" t="n">
        <v>11496.72</v>
      </c>
      <c r="H22" s="26" t="n">
        <v>-139883.76</v>
      </c>
    </row>
    <row r="23">
      <c r="A23" s="32" t="inlineStr">
        <is>
          <t>3.2 Saldo de Caixa Acumulado (Cenário Realista)</t>
        </is>
      </c>
      <c r="B23" s="33" t="inlineStr">
        <is>
          <t>Acumulado</t>
        </is>
      </c>
      <c r="C23" s="34" t="n">
        <v>-45547.68</v>
      </c>
      <c r="D23" s="34" t="n">
        <v>-76735.17999999999</v>
      </c>
      <c r="E23" s="34" t="n">
        <v>-114057.83</v>
      </c>
      <c r="F23" s="34" t="n">
        <v>-151380.48</v>
      </c>
      <c r="G23" s="34" t="n">
        <v>-139883.76</v>
      </c>
      <c r="H23" s="35" t="n">
        <v>-139883.76</v>
      </c>
    </row>
  </sheetData>
  <mergeCells count="4">
    <mergeCell ref="A3:H3"/>
    <mergeCell ref="A21:H21"/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ANÁLISE DE SENSIBILIDADE FINANCEIRA — SIMULAÇÃO EM 3 CENÁRIOS</t>
        </is>
      </c>
    </row>
    <row r="2">
      <c r="A2" s="15" t="inlineStr">
        <is>
          <t>Cenário de Análise</t>
        </is>
      </c>
      <c r="B2" s="15" t="inlineStr">
        <is>
          <t>Premissas Chave de Fluxo</t>
        </is>
      </c>
      <c r="C2" s="15" t="inlineStr">
        <is>
          <t>M1</t>
        </is>
      </c>
      <c r="D2" s="15" t="inlineStr">
        <is>
          <t>M2</t>
        </is>
      </c>
      <c r="E2" s="15" t="inlineStr">
        <is>
          <t>M3</t>
        </is>
      </c>
      <c r="F2" s="15" t="inlineStr">
        <is>
          <t>M4</t>
        </is>
      </c>
      <c r="G2" s="15" t="inlineStr">
        <is>
          <t>M5</t>
        </is>
      </c>
      <c r="H2" s="15" t="inlineStr">
        <is>
          <t>M6</t>
        </is>
      </c>
      <c r="I2" s="15" t="inlineStr">
        <is>
          <t>Pico Negativo (R$)</t>
        </is>
      </c>
      <c r="J2" s="15" t="inlineStr">
        <is>
          <t>Saldo Final (R$)</t>
        </is>
      </c>
    </row>
    <row r="3">
      <c r="A3" s="36" t="inlineStr">
        <is>
          <t>Cenário 1: Realista (Base)</t>
        </is>
      </c>
      <c r="B3" s="4" t="inlineStr">
        <is>
          <t>Medições pagas em D+15; Retenção 5% devolvida em M7; Fornecedores 20/80 D0/D+30</t>
        </is>
      </c>
      <c r="C3" s="18" t="n">
        <v>-45547.68</v>
      </c>
      <c r="D3" s="18" t="n">
        <v>-76735.17999999999</v>
      </c>
      <c r="E3" s="18" t="n">
        <v>-114057.83</v>
      </c>
      <c r="F3" s="18" t="n">
        <v>-151380.48</v>
      </c>
      <c r="G3" s="18" t="n">
        <v>-139883.76</v>
      </c>
      <c r="H3" s="37" t="inlineStr">
        <is>
          <t>-</t>
        </is>
      </c>
      <c r="I3" s="18" t="n">
        <v>-151380.48</v>
      </c>
      <c r="J3" s="28" t="n">
        <v>-139883.76</v>
      </c>
    </row>
    <row r="4">
      <c r="A4" s="31" t="inlineStr">
        <is>
          <t>Cenário 2: Otimista (Adiantamento)</t>
        </is>
      </c>
      <c r="B4" s="6" t="inlineStr">
        <is>
          <t>Adiantamento Contratual de 10% amortizado em 4x nas medições</t>
        </is>
      </c>
      <c r="C4" s="21" t="n">
        <v>-39004.32</v>
      </c>
      <c r="D4" s="21" t="n">
        <v>-71827.66</v>
      </c>
      <c r="E4" s="21" t="n">
        <v>-110786.15</v>
      </c>
      <c r="F4" s="21" t="n">
        <v>-149744.64</v>
      </c>
      <c r="G4" s="21" t="n">
        <v>-139883.76</v>
      </c>
      <c r="H4" s="38" t="inlineStr">
        <is>
          <t>-</t>
        </is>
      </c>
      <c r="I4" s="21" t="n">
        <v>-149744.64</v>
      </c>
      <c r="J4" s="26" t="n">
        <v>-139883.76</v>
      </c>
    </row>
    <row r="5">
      <c r="A5" s="36" t="inlineStr">
        <is>
          <t>Cenário 3: Estresse (Atraso 30d)</t>
        </is>
      </c>
      <c r="B5" s="4" t="inlineStr">
        <is>
          <t>Contratante atrasa liberação de medições em 30 dias (D+45); fornecedores pagos pontualmente</t>
        </is>
      </c>
      <c r="C5" s="18" t="n">
        <v>-45547.68</v>
      </c>
      <c r="D5" s="18" t="n">
        <v>-97337.96000000001</v>
      </c>
      <c r="E5" s="18" t="n">
        <v>-127910.88</v>
      </c>
      <c r="F5" s="18" t="n">
        <v>-165233.53</v>
      </c>
      <c r="G5" s="18" t="n">
        <v>-157008.5</v>
      </c>
      <c r="H5" s="39" t="n">
        <v>-139883.76</v>
      </c>
      <c r="I5" s="18" t="n">
        <v>-165233.53</v>
      </c>
      <c r="J5" s="28" t="n">
        <v>-139883.76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2026-09-11T11:14:32Z</dcterms:created>
  <dcterms:modified xsi:type="dcterms:W3CDTF">2026-09-11T11:14:32Z</dcterms:modified>
</cp:coreProperties>
</file>