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 &amp; Curva S" sheetId="1" state="visible" r:id="rId1"/>
    <sheet name="Cronograma Analí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8EEF5"/>
      <sz val="11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2F4F7"/>
        <bgColor rgb="00F2F4F7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0" fontId="4" fillId="0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pivotButton="0" quotePrefix="0" xfId="0"/>
    <xf numFmtId="10" fontId="4" fillId="4" borderId="1" pivotButton="0" quotePrefix="0" xfId="0"/>
    <xf numFmtId="0" fontId="5" fillId="5" borderId="2" applyAlignment="1" pivotButton="0" quotePrefix="0" xfId="0">
      <alignment horizontal="center"/>
    </xf>
    <xf numFmtId="164" fontId="5" fillId="5" borderId="2" pivotButton="0" quotePrefix="0" xfId="0"/>
    <xf numFmtId="10" fontId="5" fillId="5" borderId="2" pivotButton="0" quotePrefix="0" xfId="0"/>
    <xf numFmtId="0" fontId="4" fillId="0" borderId="1" applyAlignment="1" pivotButton="0" quotePrefix="0" xfId="0">
      <alignment horizontal="left"/>
    </xf>
    <xf numFmtId="4" fontId="4" fillId="0" borderId="1" pivotButton="0" quotePrefix="0" xfId="0"/>
    <xf numFmtId="0" fontId="4" fillId="4" borderId="1" applyAlignment="1" pivotButton="0" quotePrefix="0" xfId="0">
      <alignment horizontal="left"/>
    </xf>
    <xf numFmtId="4" fontId="4" fillId="4" borderId="1" pivotButton="0" quotePrefix="0" xfId="0"/>
    <xf numFmtId="0" fontId="5" fillId="5" borderId="2" applyAlignment="1" pivotButton="0" quotePrefix="0" xfId="0">
      <alignment horizontal="left"/>
    </xf>
    <xf numFmtId="0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Curva S de Avanço Planejado (Físico vs Financeiro)</a:t>
            </a:r>
          </a:p>
        </rich>
      </tx>
    </title>
    <plotArea>
      <lineChart>
        <grouping val="standard"/>
        <ser>
          <idx val="0"/>
          <order val="0"/>
          <tx>
            <strRef>
              <f>'Resumo Executivo &amp; Curva 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 Executivo &amp; Curva S'!$B$6:$B$11</f>
            </numRef>
          </cat>
          <val>
            <numRef>
              <f>'Resumo Executivo &amp; Curva S'!$F$6:$F$11</f>
            </numRef>
          </val>
        </ser>
        <ser>
          <idx val="1"/>
          <order val="1"/>
          <tx>
            <strRef>
              <f>'Resumo Executivo &amp; Curva 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 Executivo &amp; Curva S'!$B$6:$B$11</f>
            </numRef>
          </cat>
          <val>
            <numRef>
              <f>'Resumo Executivo &amp; Curva S'!$G$6:$G$11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Período (Meses)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Avanço Acumulado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5" customWidth="1" min="3" max="3"/>
    <col width="16" customWidth="1" min="4" max="4"/>
    <col width="25" customWidth="1" min="5" max="5"/>
    <col width="22" customWidth="1" min="6" max="6"/>
    <col width="20" customWidth="1" min="7" max="7"/>
  </cols>
  <sheetData>
    <row r="1">
      <c r="A1" s="1" t="inlineStr">
        <is>
          <t>OBRA RESIDENCIAL_ALPHA — CRONOGRAMA FÍSICO-FINANCEIRO &amp; CURVA S</t>
        </is>
      </c>
    </row>
    <row r="2"/>
    <row r="3">
      <c r="A3" s="2" t="inlineStr">
        <is>
          <t>Linha de Base Oficial 01 (Baseline 01) | Prazo: 6 Meses (180 Dias) | Base Orçamentária: Turnkey</t>
        </is>
      </c>
    </row>
    <row r="5">
      <c r="B5" s="3" t="inlineStr">
        <is>
          <t>Mês / Período</t>
        </is>
      </c>
      <c r="C5" s="3" t="inlineStr">
        <is>
          <t>Faturamento Mensal (R$)</t>
        </is>
      </c>
      <c r="D5" s="3" t="inlineStr">
        <is>
          <t>% Mensal</t>
        </is>
      </c>
      <c r="E5" s="3" t="inlineStr">
        <is>
          <t>Faturamento Acumulado (R$)</t>
        </is>
      </c>
      <c r="F5" s="3" t="inlineStr">
        <is>
          <t>% Financeiro Acumulado</t>
        </is>
      </c>
      <c r="G5" s="3" t="inlineStr">
        <is>
          <t>% Físico Acumulado</t>
        </is>
      </c>
    </row>
    <row r="6">
      <c r="B6" s="4" t="inlineStr">
        <is>
          <t>Mês 1</t>
        </is>
      </c>
      <c r="C6" s="5" t="n">
        <v>21687.14</v>
      </c>
      <c r="D6" s="6" t="n">
        <v>0.2292559436283707</v>
      </c>
      <c r="E6" s="5" t="n">
        <v>21687.14</v>
      </c>
      <c r="F6" s="6" t="n">
        <v>0.2292559436283707</v>
      </c>
      <c r="G6" s="6" t="n">
        <v>0.1205</v>
      </c>
    </row>
    <row r="7">
      <c r="B7" s="7" t="inlineStr">
        <is>
          <t>Mês 2</t>
        </is>
      </c>
      <c r="C7" s="8" t="n">
        <v>14582.16</v>
      </c>
      <c r="D7" s="9" t="n">
        <v>0.1541488112743258</v>
      </c>
      <c r="E7" s="8" t="n">
        <v>36269.3</v>
      </c>
      <c r="F7" s="9" t="n">
        <v>0.3834047549026966</v>
      </c>
      <c r="G7" s="9" t="n">
        <v>0.302</v>
      </c>
    </row>
    <row r="8">
      <c r="B8" s="4" t="inlineStr">
        <is>
          <t>Mês 3</t>
        </is>
      </c>
      <c r="C8" s="5" t="n">
        <v>14582.16</v>
      </c>
      <c r="D8" s="6" t="n">
        <v>0.1541488112743258</v>
      </c>
      <c r="E8" s="5" t="n">
        <v>50851.46000000001</v>
      </c>
      <c r="F8" s="6" t="n">
        <v>0.5375535661770224</v>
      </c>
      <c r="G8" s="6" t="n">
        <v>0.541</v>
      </c>
    </row>
    <row r="9">
      <c r="B9" s="7" t="inlineStr">
        <is>
          <t>Mês 4</t>
        </is>
      </c>
      <c r="C9" s="8" t="n">
        <v>14582.16</v>
      </c>
      <c r="D9" s="9" t="n">
        <v>0.1541488112743258</v>
      </c>
      <c r="E9" s="8" t="n">
        <v>65433.62000000001</v>
      </c>
      <c r="F9" s="9" t="n">
        <v>0.6917023774513483</v>
      </c>
      <c r="G9" s="9" t="n">
        <v>0.6984999999999999</v>
      </c>
    </row>
    <row r="10">
      <c r="B10" s="4" t="inlineStr">
        <is>
          <t>Mês 5</t>
        </is>
      </c>
      <c r="C10" s="5" t="n">
        <v>14582.16</v>
      </c>
      <c r="D10" s="6" t="n">
        <v>0.1541488112743258</v>
      </c>
      <c r="E10" s="5" t="n">
        <v>80015.78000000001</v>
      </c>
      <c r="F10" s="6" t="n">
        <v>0.8458511887256741</v>
      </c>
      <c r="G10" s="6" t="n">
        <v>0.884</v>
      </c>
    </row>
    <row r="11">
      <c r="B11" s="7" t="inlineStr">
        <is>
          <t>Mês 6</t>
        </is>
      </c>
      <c r="C11" s="8" t="n">
        <v>14582.16</v>
      </c>
      <c r="D11" s="9" t="n">
        <v>0.1541488112743258</v>
      </c>
      <c r="E11" s="8" t="n">
        <v>94597.94000000002</v>
      </c>
      <c r="F11" s="9" t="n">
        <v>1</v>
      </c>
      <c r="G11" s="9" t="n">
        <v>1</v>
      </c>
    </row>
    <row r="12">
      <c r="B12" s="10" t="inlineStr">
        <is>
          <t>TOTAL GLOBAL</t>
        </is>
      </c>
      <c r="C12" s="11" t="n">
        <v>94597.94000000002</v>
      </c>
      <c r="D12" s="12" t="n">
        <v>1</v>
      </c>
      <c r="E12" s="11" t="n">
        <v>94597.94000000002</v>
      </c>
      <c r="F12" s="12" t="n">
        <v>1</v>
      </c>
      <c r="G12" s="12" t="n">
        <v>1</v>
      </c>
    </row>
  </sheetData>
  <mergeCells count="2">
    <mergeCell ref="A3:G3"/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2" customWidth="1" min="4" max="4"/>
    <col width="10" customWidth="1" min="5" max="5"/>
    <col width="16" customWidth="1" min="6" max="6"/>
    <col width="22" customWidth="1" min="7" max="7"/>
    <col width="10" customWidth="1" min="8" max="8"/>
    <col width="16" customWidth="1" min="9" max="9"/>
    <col width="10" customWidth="1" min="10" max="10"/>
    <col width="16" customWidth="1" min="11" max="11"/>
    <col width="10" customWidth="1" min="12" max="12"/>
    <col width="16" customWidth="1" min="13" max="13"/>
    <col width="10" customWidth="1" min="14" max="14"/>
    <col width="16" customWidth="1" min="15" max="15"/>
    <col width="10" customWidth="1" min="16" max="16"/>
    <col width="16" customWidth="1" min="17" max="17"/>
    <col width="10" customWidth="1" min="18" max="18"/>
    <col width="16" customWidth="1" min="19" max="19"/>
    <col width="12" customWidth="1" min="20" max="20"/>
  </cols>
  <sheetData>
    <row r="1">
      <c r="A1" s="1" t="inlineStr">
        <is>
          <t>RESIDENCIAL_ALPHA — MATRIZ ANALÍTICA DE DISTRIBUIÇÃO MENSAL (5 ITENS DA EAP)</t>
        </is>
      </c>
    </row>
    <row r="2"/>
    <row r="4">
      <c r="A4" s="3" t="inlineStr">
        <is>
          <t>Código EAP</t>
        </is>
      </c>
      <c r="B4" s="3" t="inlineStr">
        <is>
          <t>Descrição do Pacote / Serviço</t>
        </is>
      </c>
      <c r="C4" s="3" t="inlineStr">
        <is>
          <t>Disciplina</t>
        </is>
      </c>
      <c r="D4" s="3" t="inlineStr">
        <is>
          <t>Qtd Proj</t>
        </is>
      </c>
      <c r="E4" s="3" t="inlineStr">
        <is>
          <t>Unid</t>
        </is>
      </c>
      <c r="F4" s="3" t="inlineStr">
        <is>
          <t>Preço Unit (R$)</t>
        </is>
      </c>
      <c r="G4" s="3" t="inlineStr">
        <is>
          <t>Preço Total Turnkey (R$)</t>
        </is>
      </c>
      <c r="H4" s="3" t="inlineStr">
        <is>
          <t>% M1</t>
        </is>
      </c>
      <c r="I4" s="3" t="inlineStr">
        <is>
          <t>R$ Mês 1</t>
        </is>
      </c>
      <c r="J4" s="3" t="inlineStr">
        <is>
          <t>% M2</t>
        </is>
      </c>
      <c r="K4" s="3" t="inlineStr">
        <is>
          <t>R$ Mês 2</t>
        </is>
      </c>
      <c r="L4" s="3" t="inlineStr">
        <is>
          <t>% M3</t>
        </is>
      </c>
      <c r="M4" s="3" t="inlineStr">
        <is>
          <t>R$ Mês 3</t>
        </is>
      </c>
      <c r="N4" s="3" t="inlineStr">
        <is>
          <t>% M4</t>
        </is>
      </c>
      <c r="O4" s="3" t="inlineStr">
        <is>
          <t>R$ Mês 4</t>
        </is>
      </c>
      <c r="P4" s="3" t="inlineStr">
        <is>
          <t>% M5</t>
        </is>
      </c>
      <c r="Q4" s="3" t="inlineStr">
        <is>
          <t>R$ Mês 5</t>
        </is>
      </c>
      <c r="R4" s="3" t="inlineStr">
        <is>
          <t>% M6</t>
        </is>
      </c>
      <c r="S4" s="3" t="inlineStr">
        <is>
          <t>R$ Mês 6</t>
        </is>
      </c>
      <c r="T4" s="3" t="inlineStr">
        <is>
          <t>Total %</t>
        </is>
      </c>
    </row>
    <row r="5">
      <c r="A5" s="4" t="inlineStr">
        <is>
          <t>1.0.1</t>
        </is>
      </c>
      <c r="B5" s="13" t="inlineStr">
        <is>
          <t>Engenheiro Residente (50%) + Mestre de Obras (100%)</t>
        </is>
      </c>
      <c r="C5" s="4" t="inlineStr">
        <is>
          <t>Administração Local e Canteiro</t>
        </is>
      </c>
      <c r="D5" s="14" t="n">
        <v>4</v>
      </c>
      <c r="E5" s="4" t="inlineStr">
        <is>
          <t>mês</t>
        </is>
      </c>
      <c r="F5" s="5" t="n">
        <v>17803.8</v>
      </c>
      <c r="G5" s="5" t="n">
        <v>71215.2</v>
      </c>
      <c r="H5" s="6" t="n">
        <v>0.1666666666666667</v>
      </c>
      <c r="I5" s="5" t="n">
        <v>11869.2</v>
      </c>
      <c r="J5" s="6" t="n">
        <v>0.1666666666666667</v>
      </c>
      <c r="K5" s="5" t="n">
        <v>11869.2</v>
      </c>
      <c r="L5" s="6" t="n">
        <v>0.1666666666666667</v>
      </c>
      <c r="M5" s="5" t="n">
        <v>11869.2</v>
      </c>
      <c r="N5" s="6" t="n">
        <v>0.1666666666666667</v>
      </c>
      <c r="O5" s="5" t="n">
        <v>11869.2</v>
      </c>
      <c r="P5" s="6" t="n">
        <v>0.1666666666666667</v>
      </c>
      <c r="Q5" s="5" t="n">
        <v>11869.2</v>
      </c>
      <c r="R5" s="6" t="n">
        <v>0.1666666666666667</v>
      </c>
      <c r="S5" s="5" t="n">
        <v>11869.2</v>
      </c>
      <c r="T5" s="6">
        <f>H5+J5+L5+N5+P5+R5</f>
        <v/>
      </c>
    </row>
    <row r="6">
      <c r="A6" s="7" t="inlineStr">
        <is>
          <t>1.0.2</t>
        </is>
      </c>
      <c r="B6" s="15" t="inlineStr">
        <is>
          <t>Locação de Containers NR-18 + Sanitário Químico</t>
        </is>
      </c>
      <c r="C6" s="7" t="inlineStr">
        <is>
          <t>Administração Local e Canteiro</t>
        </is>
      </c>
      <c r="D6" s="16" t="n">
        <v>4</v>
      </c>
      <c r="E6" s="7" t="inlineStr">
        <is>
          <t>mês</t>
        </is>
      </c>
      <c r="F6" s="8" t="n">
        <v>4069.44</v>
      </c>
      <c r="G6" s="8" t="n">
        <v>16277.76</v>
      </c>
      <c r="H6" s="9" t="n">
        <v>0.1666666666666667</v>
      </c>
      <c r="I6" s="8" t="n">
        <v>2712.96</v>
      </c>
      <c r="J6" s="9" t="n">
        <v>0.1666666666666667</v>
      </c>
      <c r="K6" s="8" t="n">
        <v>2712.96</v>
      </c>
      <c r="L6" s="9" t="n">
        <v>0.1666666666666667</v>
      </c>
      <c r="M6" s="8" t="n">
        <v>2712.96</v>
      </c>
      <c r="N6" s="9" t="n">
        <v>0.1666666666666667</v>
      </c>
      <c r="O6" s="8" t="n">
        <v>2712.96</v>
      </c>
      <c r="P6" s="9" t="n">
        <v>0.1666666666666667</v>
      </c>
      <c r="Q6" s="8" t="n">
        <v>2712.96</v>
      </c>
      <c r="R6" s="9" t="n">
        <v>0.1666666666666667</v>
      </c>
      <c r="S6" s="8" t="n">
        <v>2712.96</v>
      </c>
      <c r="T6" s="9">
        <f>H6+J6+L6+N6+P6+R6</f>
        <v/>
      </c>
    </row>
    <row r="7">
      <c r="A7" s="4" t="inlineStr">
        <is>
          <t>1.1.1</t>
        </is>
      </c>
      <c r="B7" s="13" t="inlineStr">
        <is>
          <t>Escavação Manual/Mecanizada de Sapatas e Baldrames</t>
        </is>
      </c>
      <c r="C7" s="4" t="inlineStr">
        <is>
          <t>Infraestrutura e Fundações</t>
        </is>
      </c>
      <c r="D7" s="14" t="n">
        <v>35.5377</v>
      </c>
      <c r="E7" s="4" t="inlineStr">
        <is>
          <t>m³</t>
        </is>
      </c>
      <c r="F7" s="5" t="n">
        <v>14.28</v>
      </c>
      <c r="G7" s="5" t="n">
        <v>507.48</v>
      </c>
      <c r="H7" s="6" t="n">
        <v>1</v>
      </c>
      <c r="I7" s="5" t="n">
        <v>507.48</v>
      </c>
      <c r="J7" s="6" t="n">
        <v>0</v>
      </c>
      <c r="K7" s="5" t="n">
        <v>0</v>
      </c>
      <c r="L7" s="6" t="n">
        <v>0</v>
      </c>
      <c r="M7" s="5" t="n">
        <v>0</v>
      </c>
      <c r="N7" s="6" t="n">
        <v>0</v>
      </c>
      <c r="O7" s="5" t="n">
        <v>0</v>
      </c>
      <c r="P7" s="6" t="n">
        <v>0</v>
      </c>
      <c r="Q7" s="5" t="n">
        <v>0</v>
      </c>
      <c r="R7" s="6" t="n">
        <v>0</v>
      </c>
      <c r="S7" s="5" t="n">
        <v>0</v>
      </c>
      <c r="T7" s="6">
        <f>H7+J7+L7+N7+P7+R7</f>
        <v/>
      </c>
    </row>
    <row r="8">
      <c r="A8" s="7" t="inlineStr">
        <is>
          <t>1.1.2</t>
        </is>
      </c>
      <c r="B8" s="15" t="inlineStr">
        <is>
          <t>Estacas Escavadas em Concreto Usinado fck 30 MPa (Brocas Ø30cm)</t>
        </is>
      </c>
      <c r="C8" s="7" t="inlineStr">
        <is>
          <t>Infraestrutura e Fundações</t>
        </is>
      </c>
      <c r="D8" s="16" t="n">
        <v>5.0894</v>
      </c>
      <c r="E8" s="7" t="inlineStr">
        <is>
          <t>m³</t>
        </is>
      </c>
      <c r="F8" s="8" t="n">
        <v>610.42</v>
      </c>
      <c r="G8" s="8" t="n">
        <v>3106.67</v>
      </c>
      <c r="H8" s="9" t="n">
        <v>1</v>
      </c>
      <c r="I8" s="8" t="n">
        <v>3106.67</v>
      </c>
      <c r="J8" s="9" t="n">
        <v>0</v>
      </c>
      <c r="K8" s="8" t="n">
        <v>0</v>
      </c>
      <c r="L8" s="9" t="n">
        <v>0</v>
      </c>
      <c r="M8" s="8" t="n">
        <v>0</v>
      </c>
      <c r="N8" s="9" t="n">
        <v>0</v>
      </c>
      <c r="O8" s="8" t="n">
        <v>0</v>
      </c>
      <c r="P8" s="9" t="n">
        <v>0</v>
      </c>
      <c r="Q8" s="8" t="n">
        <v>0</v>
      </c>
      <c r="R8" s="9" t="n">
        <v>0</v>
      </c>
      <c r="S8" s="8" t="n">
        <v>0</v>
      </c>
      <c r="T8" s="9">
        <f>H8+J8+L8+N8+P8+R8</f>
        <v/>
      </c>
    </row>
    <row r="9">
      <c r="A9" s="4" t="inlineStr">
        <is>
          <t>1.1.5</t>
        </is>
      </c>
      <c r="B9" s="13" t="inlineStr">
        <is>
          <t>Aço CA-50 8.0mm Sapatas Isoladas</t>
        </is>
      </c>
      <c r="C9" s="4" t="inlineStr">
        <is>
          <t>Infraestrutura e Fundações</t>
        </is>
      </c>
      <c r="D9" s="14" t="n">
        <v>46.926</v>
      </c>
      <c r="E9" s="4" t="inlineStr">
        <is>
          <t>kg</t>
        </is>
      </c>
      <c r="F9" s="5" t="n">
        <v>74.39</v>
      </c>
      <c r="G9" s="5" t="n">
        <v>3490.83</v>
      </c>
      <c r="H9" s="6" t="n">
        <v>1</v>
      </c>
      <c r="I9" s="5" t="n">
        <v>3490.83</v>
      </c>
      <c r="J9" s="6" t="n">
        <v>0</v>
      </c>
      <c r="K9" s="5" t="n">
        <v>0</v>
      </c>
      <c r="L9" s="6" t="n">
        <v>0</v>
      </c>
      <c r="M9" s="5" t="n">
        <v>0</v>
      </c>
      <c r="N9" s="6" t="n">
        <v>0</v>
      </c>
      <c r="O9" s="5" t="n">
        <v>0</v>
      </c>
      <c r="P9" s="6" t="n">
        <v>0</v>
      </c>
      <c r="Q9" s="5" t="n">
        <v>0</v>
      </c>
      <c r="R9" s="6" t="n">
        <v>0</v>
      </c>
      <c r="S9" s="5" t="n">
        <v>0</v>
      </c>
      <c r="T9" s="6">
        <f>H9+J9+L9+N9+P9+R9</f>
        <v/>
      </c>
    </row>
    <row r="10">
      <c r="A10" s="10" t="inlineStr">
        <is>
          <t>TOTAL</t>
        </is>
      </c>
      <c r="B10" s="17" t="inlineStr">
        <is>
          <t>TOTAL GERAL DO EMPREENDIMENTO (TURNKEY)</t>
        </is>
      </c>
      <c r="C10" s="18" t="n"/>
      <c r="D10" s="18" t="n"/>
      <c r="E10" s="18" t="n"/>
      <c r="F10" s="18" t="n"/>
      <c r="G10" s="11">
        <f>SUM(G5:G9)</f>
        <v/>
      </c>
      <c r="H10" s="12">
        <f>I10/G10</f>
        <v/>
      </c>
      <c r="I10" s="11">
        <f>SUM(I5:I9)</f>
        <v/>
      </c>
      <c r="J10" s="12">
        <f>K10/G10</f>
        <v/>
      </c>
      <c r="K10" s="11">
        <f>SUM(K5:K9)</f>
        <v/>
      </c>
      <c r="L10" s="12">
        <f>M10/G10</f>
        <v/>
      </c>
      <c r="M10" s="11">
        <f>SUM(M5:M9)</f>
        <v/>
      </c>
      <c r="N10" s="12">
        <f>O10/G10</f>
        <v/>
      </c>
      <c r="O10" s="11">
        <f>SUM(O5:O9)</f>
        <v/>
      </c>
      <c r="P10" s="12">
        <f>Q10/G10</f>
        <v/>
      </c>
      <c r="Q10" s="11">
        <f>SUM(Q5:Q9)</f>
        <v/>
      </c>
      <c r="R10" s="12">
        <f>S10/G10</f>
        <v/>
      </c>
      <c r="S10" s="11">
        <f>SUM(S5:S9)</f>
        <v/>
      </c>
      <c r="T10" s="12" t="n">
        <v>1</v>
      </c>
    </row>
  </sheetData>
  <mergeCells count="1">
    <mergeCell ref="A1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2026-09-11T11:14:28Z</dcterms:created>
  <dcterms:modified xsi:type="dcterms:W3CDTF">2026-09-11T11:14:28Z</dcterms:modified>
</cp:coreProperties>
</file>