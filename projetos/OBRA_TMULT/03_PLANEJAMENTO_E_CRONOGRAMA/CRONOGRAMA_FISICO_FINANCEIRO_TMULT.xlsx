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 &amp; Curva S" sheetId="1" state="visible" r:id="rId1"/>
    <sheet name="Cronograma Analí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8EEF5"/>
      <sz val="11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365D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F2F4F7"/>
        <bgColor rgb="00F2F4F7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365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10" fontId="4" fillId="0" borderId="1" pivotButton="0" quotePrefix="0" xfId="0"/>
    <xf numFmtId="0" fontId="4" fillId="4" borderId="1" applyAlignment="1" pivotButton="0" quotePrefix="0" xfId="0">
      <alignment horizontal="center"/>
    </xf>
    <xf numFmtId="164" fontId="4" fillId="4" borderId="1" pivotButton="0" quotePrefix="0" xfId="0"/>
    <xf numFmtId="10" fontId="4" fillId="4" borderId="1" pivotButton="0" quotePrefix="0" xfId="0"/>
    <xf numFmtId="0" fontId="5" fillId="5" borderId="2" applyAlignment="1" pivotButton="0" quotePrefix="0" xfId="0">
      <alignment horizontal="center"/>
    </xf>
    <xf numFmtId="164" fontId="5" fillId="5" borderId="2" pivotButton="0" quotePrefix="0" xfId="0"/>
    <xf numFmtId="10" fontId="5" fillId="5" borderId="2" pivotButton="0" quotePrefix="0" xfId="0"/>
    <xf numFmtId="0" fontId="4" fillId="0" borderId="1" applyAlignment="1" pivotButton="0" quotePrefix="0" xfId="0">
      <alignment horizontal="left"/>
    </xf>
    <xf numFmtId="4" fontId="4" fillId="0" borderId="1" pivotButton="0" quotePrefix="0" xfId="0"/>
    <xf numFmtId="0" fontId="4" fillId="4" borderId="1" applyAlignment="1" pivotButton="0" quotePrefix="0" xfId="0">
      <alignment horizontal="left"/>
    </xf>
    <xf numFmtId="4" fontId="4" fillId="4" borderId="1" pivotButton="0" quotePrefix="0" xfId="0"/>
    <xf numFmtId="0" fontId="5" fillId="5" borderId="2" applyAlignment="1" pivotButton="0" quotePrefix="0" xfId="0">
      <alignment horizontal="left"/>
    </xf>
    <xf numFmtId="0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Curva S de Avanço Planejado (Físico vs Financeiro)</a:t>
            </a:r>
          </a:p>
        </rich>
      </tx>
    </title>
    <plotArea>
      <lineChart>
        <grouping val="standard"/>
        <ser>
          <idx val="0"/>
          <order val="0"/>
          <tx>
            <strRef>
              <f>'Resumo Executivo &amp; Curva S'!F5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 Executivo &amp; Curva S'!$B$6:$B$11</f>
            </numRef>
          </cat>
          <val>
            <numRef>
              <f>'Resumo Executivo &amp; Curva S'!$F$6:$F$11</f>
            </numRef>
          </val>
        </ser>
        <ser>
          <idx val="1"/>
          <order val="1"/>
          <tx>
            <strRef>
              <f>'Resumo Executivo &amp; Curva S'!G5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 Executivo &amp; Curva S'!$B$6:$B$11</f>
            </numRef>
          </cat>
          <val>
            <numRef>
              <f>'Resumo Executivo &amp; Curva S'!$G$6:$G$11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Período (Meses)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Avanço Acumulado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5" customWidth="1" min="3" max="3"/>
    <col width="16" customWidth="1" min="4" max="4"/>
    <col width="25" customWidth="1" min="5" max="5"/>
    <col width="22" customWidth="1" min="6" max="6"/>
    <col width="20" customWidth="1" min="7" max="7"/>
  </cols>
  <sheetData>
    <row r="1">
      <c r="A1" s="1" t="inlineStr">
        <is>
          <t>OBRA TMULT — CRONOGRAMA FÍSICO-FINANCEIRO &amp; CURVA S</t>
        </is>
      </c>
    </row>
    <row r="2"/>
    <row r="3">
      <c r="A3" s="2" t="inlineStr">
        <is>
          <t>Linha de Base Oficial 01 (Baseline 01) | Prazo: 6 Meses (180 Dias) | Base Orçamentária: Turnkey</t>
        </is>
      </c>
    </row>
    <row r="5">
      <c r="B5" s="3" t="inlineStr">
        <is>
          <t>Mês / Período</t>
        </is>
      </c>
      <c r="C5" s="3" t="inlineStr">
        <is>
          <t>Faturamento Mensal (R$)</t>
        </is>
      </c>
      <c r="D5" s="3" t="inlineStr">
        <is>
          <t>% Mensal</t>
        </is>
      </c>
      <c r="E5" s="3" t="inlineStr">
        <is>
          <t>Faturamento Acumulado (R$)</t>
        </is>
      </c>
      <c r="F5" s="3" t="inlineStr">
        <is>
          <t>% Financeiro Acumulado</t>
        </is>
      </c>
      <c r="G5" s="3" t="inlineStr">
        <is>
          <t>% Físico Acumulado</t>
        </is>
      </c>
    </row>
    <row r="6">
      <c r="B6" s="4" t="inlineStr">
        <is>
          <t>Mês 1</t>
        </is>
      </c>
      <c r="C6" s="5" t="n">
        <v>163442.02</v>
      </c>
      <c r="D6" s="6" t="n">
        <v>0.09841385607577745</v>
      </c>
      <c r="E6" s="5" t="n">
        <v>163442.02</v>
      </c>
      <c r="F6" s="6" t="n">
        <v>0.09841385607577745</v>
      </c>
      <c r="G6" s="6" t="n">
        <v>0.1205</v>
      </c>
    </row>
    <row r="7">
      <c r="B7" s="7" t="inlineStr">
        <is>
          <t>Mês 2</t>
        </is>
      </c>
      <c r="C7" s="8" t="n">
        <v>277895.85</v>
      </c>
      <c r="D7" s="9" t="n">
        <v>0.1673302996741954</v>
      </c>
      <c r="E7" s="8" t="n">
        <v>441337.87</v>
      </c>
      <c r="F7" s="9" t="n">
        <v>0.2657441557499728</v>
      </c>
      <c r="G7" s="9" t="n">
        <v>0.302</v>
      </c>
    </row>
    <row r="8">
      <c r="B8" s="4" t="inlineStr">
        <is>
          <t>Mês 3</t>
        </is>
      </c>
      <c r="C8" s="5" t="n">
        <v>347328.2</v>
      </c>
      <c r="D8" s="6" t="n">
        <v>0.2091378183276176</v>
      </c>
      <c r="E8" s="5" t="n">
        <v>788666.0699999999</v>
      </c>
      <c r="F8" s="6" t="n">
        <v>0.4748819740775905</v>
      </c>
      <c r="G8" s="6" t="n">
        <v>0.541</v>
      </c>
    </row>
    <row r="9">
      <c r="B9" s="7" t="inlineStr">
        <is>
          <t>Mês 4</t>
        </is>
      </c>
      <c r="C9" s="8" t="n">
        <v>251786.96</v>
      </c>
      <c r="D9" s="9" t="n">
        <v>0.1516092718579808</v>
      </c>
      <c r="E9" s="8" t="n">
        <v>1040453.03</v>
      </c>
      <c r="F9" s="9" t="n">
        <v>0.6264912459355713</v>
      </c>
      <c r="G9" s="9" t="n">
        <v>0.6984999999999999</v>
      </c>
    </row>
    <row r="10">
      <c r="B10" s="4" t="inlineStr">
        <is>
          <t>Mês 5</t>
        </is>
      </c>
      <c r="C10" s="5" t="n">
        <v>333356.25</v>
      </c>
      <c r="D10" s="6" t="n">
        <v>0.200724844256458</v>
      </c>
      <c r="E10" s="5" t="n">
        <v>1373809.28</v>
      </c>
      <c r="F10" s="6" t="n">
        <v>0.8272160901920291</v>
      </c>
      <c r="G10" s="6" t="n">
        <v>0.884</v>
      </c>
    </row>
    <row r="11">
      <c r="B11" s="7" t="inlineStr">
        <is>
          <t>Mês 6</t>
        </is>
      </c>
      <c r="C11" s="8" t="n">
        <v>286953</v>
      </c>
      <c r="D11" s="9" t="n">
        <v>0.1727839098079708</v>
      </c>
      <c r="E11" s="8" t="n">
        <v>1660762.28</v>
      </c>
      <c r="F11" s="9" t="n">
        <v>1</v>
      </c>
      <c r="G11" s="9" t="n">
        <v>1</v>
      </c>
    </row>
    <row r="12">
      <c r="B12" s="10" t="inlineStr">
        <is>
          <t>TOTAL GLOBAL</t>
        </is>
      </c>
      <c r="C12" s="11" t="n">
        <v>1660762.28</v>
      </c>
      <c r="D12" s="12" t="n">
        <v>1</v>
      </c>
      <c r="E12" s="11" t="n">
        <v>1660762.28</v>
      </c>
      <c r="F12" s="12" t="n">
        <v>1</v>
      </c>
      <c r="G12" s="12" t="n">
        <v>1</v>
      </c>
    </row>
  </sheetData>
  <mergeCells count="2">
    <mergeCell ref="A3:G3"/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12" customWidth="1" min="4" max="4"/>
    <col width="10" customWidth="1" min="5" max="5"/>
    <col width="16" customWidth="1" min="6" max="6"/>
    <col width="22" customWidth="1" min="7" max="7"/>
    <col width="10" customWidth="1" min="8" max="8"/>
    <col width="16" customWidth="1" min="9" max="9"/>
    <col width="10" customWidth="1" min="10" max="10"/>
    <col width="16" customWidth="1" min="11" max="11"/>
    <col width="10" customWidth="1" min="12" max="12"/>
    <col width="16" customWidth="1" min="13" max="13"/>
    <col width="10" customWidth="1" min="14" max="14"/>
    <col width="16" customWidth="1" min="15" max="15"/>
    <col width="10" customWidth="1" min="16" max="16"/>
    <col width="16" customWidth="1" min="17" max="17"/>
    <col width="10" customWidth="1" min="18" max="18"/>
    <col width="16" customWidth="1" min="19" max="19"/>
    <col width="12" customWidth="1" min="20" max="20"/>
  </cols>
  <sheetData>
    <row r="1">
      <c r="A1" s="1" t="inlineStr">
        <is>
          <t>TMULT — MATRIZ ANALÍTICA DE DISTRIBUIÇÃO MENSAL (158 ITENS DA EAP)</t>
        </is>
      </c>
    </row>
    <row r="2"/>
    <row r="4">
      <c r="A4" s="3" t="inlineStr">
        <is>
          <t>Código EAP</t>
        </is>
      </c>
      <c r="B4" s="3" t="inlineStr">
        <is>
          <t>Descrição do Pacote / Serviço</t>
        </is>
      </c>
      <c r="C4" s="3" t="inlineStr">
        <is>
          <t>Disciplina</t>
        </is>
      </c>
      <c r="D4" s="3" t="inlineStr">
        <is>
          <t>Qtd Proj</t>
        </is>
      </c>
      <c r="E4" s="3" t="inlineStr">
        <is>
          <t>Unid</t>
        </is>
      </c>
      <c r="F4" s="3" t="inlineStr">
        <is>
          <t>Preço Unit (R$)</t>
        </is>
      </c>
      <c r="G4" s="3" t="inlineStr">
        <is>
          <t>Preço Total Turnkey (R$)</t>
        </is>
      </c>
      <c r="H4" s="3" t="inlineStr">
        <is>
          <t>% M1</t>
        </is>
      </c>
      <c r="I4" s="3" t="inlineStr">
        <is>
          <t>R$ Mês 1</t>
        </is>
      </c>
      <c r="J4" s="3" t="inlineStr">
        <is>
          <t>% M2</t>
        </is>
      </c>
      <c r="K4" s="3" t="inlineStr">
        <is>
          <t>R$ Mês 2</t>
        </is>
      </c>
      <c r="L4" s="3" t="inlineStr">
        <is>
          <t>% M3</t>
        </is>
      </c>
      <c r="M4" s="3" t="inlineStr">
        <is>
          <t>R$ Mês 3</t>
        </is>
      </c>
      <c r="N4" s="3" t="inlineStr">
        <is>
          <t>% M4</t>
        </is>
      </c>
      <c r="O4" s="3" t="inlineStr">
        <is>
          <t>R$ Mês 4</t>
        </is>
      </c>
      <c r="P4" s="3" t="inlineStr">
        <is>
          <t>% M5</t>
        </is>
      </c>
      <c r="Q4" s="3" t="inlineStr">
        <is>
          <t>R$ Mês 5</t>
        </is>
      </c>
      <c r="R4" s="3" t="inlineStr">
        <is>
          <t>% M6</t>
        </is>
      </c>
      <c r="S4" s="3" t="inlineStr">
        <is>
          <t>R$ Mês 6</t>
        </is>
      </c>
      <c r="T4" s="3" t="inlineStr">
        <is>
          <t>Total %</t>
        </is>
      </c>
    </row>
    <row r="5">
      <c r="A5" s="4" t="inlineStr">
        <is>
          <t>1.0.1</t>
        </is>
      </c>
      <c r="B5" s="13" t="inlineStr">
        <is>
          <t>Equipe de Gestão Técnica de Obra (Engenheiro Residente 60% + Mestre de Obras 100%)</t>
        </is>
      </c>
      <c r="C5" s="4" t="inlineStr">
        <is>
          <t>Administração Local e Canteiro</t>
        </is>
      </c>
      <c r="D5" s="14" t="n">
        <v>6</v>
      </c>
      <c r="E5" s="4" t="inlineStr">
        <is>
          <t>mês</t>
        </is>
      </c>
      <c r="F5" s="5" t="n">
        <v>22636.26</v>
      </c>
      <c r="G5" s="5" t="n">
        <v>135817.56</v>
      </c>
      <c r="H5" s="6" t="n">
        <v>0.1666666666666667</v>
      </c>
      <c r="I5" s="5" t="n">
        <v>22636.26</v>
      </c>
      <c r="J5" s="6" t="n">
        <v>0.1666666666666667</v>
      </c>
      <c r="K5" s="5" t="n">
        <v>22636.26</v>
      </c>
      <c r="L5" s="6" t="n">
        <v>0.1666666666666667</v>
      </c>
      <c r="M5" s="5" t="n">
        <v>22636.26</v>
      </c>
      <c r="N5" s="6" t="n">
        <v>0.1666666666666667</v>
      </c>
      <c r="O5" s="5" t="n">
        <v>22636.26</v>
      </c>
      <c r="P5" s="6" t="n">
        <v>0.1666666666666667</v>
      </c>
      <c r="Q5" s="5" t="n">
        <v>22636.26</v>
      </c>
      <c r="R5" s="6" t="n">
        <v>0.1666666666666667</v>
      </c>
      <c r="S5" s="5" t="n">
        <v>22636.26</v>
      </c>
      <c r="T5" s="6">
        <f>H5+J5+L5+N5+P5+R5</f>
        <v/>
      </c>
    </row>
    <row r="6">
      <c r="A6" s="7" t="inlineStr">
        <is>
          <t>1.0.2</t>
        </is>
      </c>
      <c r="B6" s="15" t="inlineStr">
        <is>
          <t>Equipe de Apoio e Segurança (Técnico Seg Trabalho + Almoxarife + Vigia)</t>
        </is>
      </c>
      <c r="C6" s="7" t="inlineStr">
        <is>
          <t>Administração Local e Canteiro</t>
        </is>
      </c>
      <c r="D6" s="16" t="n">
        <v>6</v>
      </c>
      <c r="E6" s="7" t="inlineStr">
        <is>
          <t>mês</t>
        </is>
      </c>
      <c r="F6" s="8" t="n">
        <v>14624.55</v>
      </c>
      <c r="G6" s="8" t="n">
        <v>87747.3</v>
      </c>
      <c r="H6" s="9" t="n">
        <v>0.1666666666666667</v>
      </c>
      <c r="I6" s="8" t="n">
        <v>14624.55</v>
      </c>
      <c r="J6" s="9" t="n">
        <v>0.1666666666666667</v>
      </c>
      <c r="K6" s="8" t="n">
        <v>14624.55</v>
      </c>
      <c r="L6" s="9" t="n">
        <v>0.1666666666666667</v>
      </c>
      <c r="M6" s="8" t="n">
        <v>14624.55</v>
      </c>
      <c r="N6" s="9" t="n">
        <v>0.1666666666666667</v>
      </c>
      <c r="O6" s="8" t="n">
        <v>14624.55</v>
      </c>
      <c r="P6" s="9" t="n">
        <v>0.1666666666666667</v>
      </c>
      <c r="Q6" s="8" t="n">
        <v>14624.55</v>
      </c>
      <c r="R6" s="9" t="n">
        <v>0.1666666666666667</v>
      </c>
      <c r="S6" s="8" t="n">
        <v>14624.55</v>
      </c>
      <c r="T6" s="9">
        <f>H6+J6+L6+N6+P6+R6</f>
        <v/>
      </c>
    </row>
    <row r="7">
      <c r="A7" s="4" t="inlineStr">
        <is>
          <t>1.0.3</t>
        </is>
      </c>
      <c r="B7" s="13" t="inlineStr">
        <is>
          <t>Locação de Módulos Habitáveis Containers NR-18 (4 un) + Sanitários Químicos (2 un) + Frete</t>
        </is>
      </c>
      <c r="C7" s="4" t="inlineStr">
        <is>
          <t>Administração Local e Canteiro</t>
        </is>
      </c>
      <c r="D7" s="14" t="n">
        <v>6</v>
      </c>
      <c r="E7" s="4" t="inlineStr">
        <is>
          <t>mês</t>
        </is>
      </c>
      <c r="F7" s="5" t="n">
        <v>8117.68</v>
      </c>
      <c r="G7" s="5" t="n">
        <v>48706.08</v>
      </c>
      <c r="H7" s="6" t="n">
        <v>0.1666666666666667</v>
      </c>
      <c r="I7" s="5" t="n">
        <v>8117.68</v>
      </c>
      <c r="J7" s="6" t="n">
        <v>0.1666666666666667</v>
      </c>
      <c r="K7" s="5" t="n">
        <v>8117.68</v>
      </c>
      <c r="L7" s="6" t="n">
        <v>0.1666666666666667</v>
      </c>
      <c r="M7" s="5" t="n">
        <v>8117.68</v>
      </c>
      <c r="N7" s="6" t="n">
        <v>0.1666666666666667</v>
      </c>
      <c r="O7" s="5" t="n">
        <v>8117.68</v>
      </c>
      <c r="P7" s="6" t="n">
        <v>0.1666666666666667</v>
      </c>
      <c r="Q7" s="5" t="n">
        <v>8117.68</v>
      </c>
      <c r="R7" s="6" t="n">
        <v>0.1666666666666667</v>
      </c>
      <c r="S7" s="5" t="n">
        <v>8117.68</v>
      </c>
      <c r="T7" s="6">
        <f>H7+J7+L7+N7+P7+R7</f>
        <v/>
      </c>
    </row>
    <row r="8">
      <c r="A8" s="7" t="inlineStr">
        <is>
          <t>1.0.4</t>
        </is>
      </c>
      <c r="B8" s="15" t="inlineStr">
        <is>
          <t>Contas Provisórias de Consumo de Canteiro (Energia, Água Pipa e Internet Fibra)</t>
        </is>
      </c>
      <c r="C8" s="7" t="inlineStr">
        <is>
          <t>Administração Local e Canteiro</t>
        </is>
      </c>
      <c r="D8" s="16" t="n">
        <v>6</v>
      </c>
      <c r="E8" s="7" t="inlineStr">
        <is>
          <t>mês</t>
        </is>
      </c>
      <c r="F8" s="8" t="n">
        <v>2988.5</v>
      </c>
      <c r="G8" s="8" t="n">
        <v>17931</v>
      </c>
      <c r="H8" s="9" t="n">
        <v>0.1666666666666667</v>
      </c>
      <c r="I8" s="8" t="n">
        <v>2988.5</v>
      </c>
      <c r="J8" s="9" t="n">
        <v>0.1666666666666667</v>
      </c>
      <c r="K8" s="8" t="n">
        <v>2988.5</v>
      </c>
      <c r="L8" s="9" t="n">
        <v>0.1666666666666667</v>
      </c>
      <c r="M8" s="8" t="n">
        <v>2988.5</v>
      </c>
      <c r="N8" s="9" t="n">
        <v>0.1666666666666667</v>
      </c>
      <c r="O8" s="8" t="n">
        <v>2988.5</v>
      </c>
      <c r="P8" s="9" t="n">
        <v>0.1666666666666667</v>
      </c>
      <c r="Q8" s="8" t="n">
        <v>2988.5</v>
      </c>
      <c r="R8" s="9" t="n">
        <v>0.1666666666666667</v>
      </c>
      <c r="S8" s="8" t="n">
        <v>2988.5</v>
      </c>
      <c r="T8" s="9">
        <f>H8+J8+L8+N8+P8+R8</f>
        <v/>
      </c>
    </row>
    <row r="9">
      <c r="A9" s="4" t="inlineStr">
        <is>
          <t>1.0.5</t>
        </is>
      </c>
      <c r="B9" s="13" t="inlineStr">
        <is>
          <t>Vivência, Alimentação (Café+Almoço 16 operários) e Logística de Transporte (VT/Vans)</t>
        </is>
      </c>
      <c r="C9" s="4" t="inlineStr">
        <is>
          <t>Administração Local e Canteiro</t>
        </is>
      </c>
      <c r="D9" s="14" t="n">
        <v>6</v>
      </c>
      <c r="E9" s="4" t="inlineStr">
        <is>
          <t>mês</t>
        </is>
      </c>
      <c r="F9" s="5" t="n">
        <v>23114.42</v>
      </c>
      <c r="G9" s="5" t="n">
        <v>138686.52</v>
      </c>
      <c r="H9" s="6" t="n">
        <v>0.1666666666666667</v>
      </c>
      <c r="I9" s="5" t="n">
        <v>23114.42</v>
      </c>
      <c r="J9" s="6" t="n">
        <v>0.1666666666666667</v>
      </c>
      <c r="K9" s="5" t="n">
        <v>23114.42</v>
      </c>
      <c r="L9" s="6" t="n">
        <v>0.1666666666666667</v>
      </c>
      <c r="M9" s="5" t="n">
        <v>23114.42</v>
      </c>
      <c r="N9" s="6" t="n">
        <v>0.1666666666666667</v>
      </c>
      <c r="O9" s="5" t="n">
        <v>23114.42</v>
      </c>
      <c r="P9" s="6" t="n">
        <v>0.1666666666666667</v>
      </c>
      <c r="Q9" s="5" t="n">
        <v>23114.42</v>
      </c>
      <c r="R9" s="6" t="n">
        <v>0.1666666666666667</v>
      </c>
      <c r="S9" s="5" t="n">
        <v>23114.42</v>
      </c>
      <c r="T9" s="6">
        <f>H9+J9+L9+N9+P9+R9</f>
        <v/>
      </c>
    </row>
    <row r="10">
      <c r="A10" s="7" t="inlineStr">
        <is>
          <t>1.0.6</t>
        </is>
      </c>
      <c r="B10" s="15" t="inlineStr">
        <is>
          <t>Saúde Ocupacional (PGR/PCMSO/ASO), Fardamento/EPIs e Apoio Mecânico c/ Caçambas</t>
        </is>
      </c>
      <c r="C10" s="7" t="inlineStr">
        <is>
          <t>Administração Local e Canteiro</t>
        </is>
      </c>
      <c r="D10" s="16" t="n">
        <v>6</v>
      </c>
      <c r="E10" s="7" t="inlineStr">
        <is>
          <t>mês</t>
        </is>
      </c>
      <c r="F10" s="8" t="n">
        <v>6146.55</v>
      </c>
      <c r="G10" s="8" t="n">
        <v>36879.3</v>
      </c>
      <c r="H10" s="9" t="n">
        <v>0.1666666666666667</v>
      </c>
      <c r="I10" s="8" t="n">
        <v>6146.55</v>
      </c>
      <c r="J10" s="9" t="n">
        <v>0.1666666666666667</v>
      </c>
      <c r="K10" s="8" t="n">
        <v>6146.55</v>
      </c>
      <c r="L10" s="9" t="n">
        <v>0.1666666666666667</v>
      </c>
      <c r="M10" s="8" t="n">
        <v>6146.55</v>
      </c>
      <c r="N10" s="9" t="n">
        <v>0.1666666666666667</v>
      </c>
      <c r="O10" s="8" t="n">
        <v>6146.55</v>
      </c>
      <c r="P10" s="9" t="n">
        <v>0.1666666666666667</v>
      </c>
      <c r="Q10" s="8" t="n">
        <v>6146.55</v>
      </c>
      <c r="R10" s="9" t="n">
        <v>0.1666666666666667</v>
      </c>
      <c r="S10" s="8" t="n">
        <v>6146.55</v>
      </c>
      <c r="T10" s="9">
        <f>H10+J10+L10+N10+P10+R10</f>
        <v/>
      </c>
    </row>
    <row r="11">
      <c r="A11" s="4" t="inlineStr">
        <is>
          <t>1.1.1</t>
        </is>
      </c>
      <c r="B11" s="13" t="inlineStr">
        <is>
          <t>Escavação Mecanizada/Manual de Cavas e Valas (Geometria Líquida)</t>
        </is>
      </c>
      <c r="C11" s="4" t="inlineStr">
        <is>
          <t>Infraestrutura</t>
        </is>
      </c>
      <c r="D11" s="14" t="n">
        <v>51.27</v>
      </c>
      <c r="E11" s="4" t="inlineStr">
        <is>
          <t>m³</t>
        </is>
      </c>
      <c r="F11" s="5" t="n">
        <v>14.28</v>
      </c>
      <c r="G11" s="5" t="n">
        <v>732.14</v>
      </c>
      <c r="H11" s="6" t="n">
        <v>1</v>
      </c>
      <c r="I11" s="5" t="n">
        <v>732.14</v>
      </c>
      <c r="J11" s="6" t="n">
        <v>0</v>
      </c>
      <c r="K11" s="5" t="n">
        <v>0</v>
      </c>
      <c r="L11" s="6" t="n">
        <v>0</v>
      </c>
      <c r="M11" s="5" t="n">
        <v>0</v>
      </c>
      <c r="N11" s="6" t="n">
        <v>0</v>
      </c>
      <c r="O11" s="5" t="n">
        <v>0</v>
      </c>
      <c r="P11" s="6" t="n">
        <v>0</v>
      </c>
      <c r="Q11" s="5" t="n">
        <v>0</v>
      </c>
      <c r="R11" s="6" t="n">
        <v>0</v>
      </c>
      <c r="S11" s="5" t="n">
        <v>0</v>
      </c>
      <c r="T11" s="6">
        <f>H11+J11+L11+N11+P11+R11</f>
        <v/>
      </c>
    </row>
    <row r="12">
      <c r="A12" s="7" t="inlineStr">
        <is>
          <t>1.1.2</t>
        </is>
      </c>
      <c r="B12" s="15" t="inlineStr">
        <is>
          <t>Apiloamento e Compactação do Fundo de Cava/Vala Líquido</t>
        </is>
      </c>
      <c r="C12" s="7" t="inlineStr">
        <is>
          <t>Infraestrutura</t>
        </is>
      </c>
      <c r="D12" s="16" t="n">
        <v>60.74</v>
      </c>
      <c r="E12" s="7" t="inlineStr">
        <is>
          <t>m²</t>
        </is>
      </c>
      <c r="F12" s="8" t="n">
        <v>8.65</v>
      </c>
      <c r="G12" s="8" t="n">
        <v>525.4</v>
      </c>
      <c r="H12" s="9" t="n">
        <v>1</v>
      </c>
      <c r="I12" s="8" t="n">
        <v>525.4</v>
      </c>
      <c r="J12" s="9" t="n">
        <v>0</v>
      </c>
      <c r="K12" s="8" t="n">
        <v>0</v>
      </c>
      <c r="L12" s="9" t="n">
        <v>0</v>
      </c>
      <c r="M12" s="8" t="n">
        <v>0</v>
      </c>
      <c r="N12" s="9" t="n">
        <v>0</v>
      </c>
      <c r="O12" s="8" t="n">
        <v>0</v>
      </c>
      <c r="P12" s="9" t="n">
        <v>0</v>
      </c>
      <c r="Q12" s="8" t="n">
        <v>0</v>
      </c>
      <c r="R12" s="9" t="n">
        <v>0</v>
      </c>
      <c r="S12" s="8" t="n">
        <v>0</v>
      </c>
      <c r="T12" s="9">
        <f>H12+J12+L12+N12+P12+R12</f>
        <v/>
      </c>
    </row>
    <row r="13">
      <c r="A13" s="4" t="inlineStr">
        <is>
          <t>1.1.3</t>
        </is>
      </c>
      <c r="B13" s="13" t="inlineStr">
        <is>
          <t>Lastro de Concreto Magro fck 15 MPa e=5cm sob Sapatas e Baldrames</t>
        </is>
      </c>
      <c r="C13" s="4" t="inlineStr">
        <is>
          <t>Infraestrutura</t>
        </is>
      </c>
      <c r="D13" s="14" t="n">
        <v>3.04</v>
      </c>
      <c r="E13" s="4" t="inlineStr">
        <is>
          <t>m³</t>
        </is>
      </c>
      <c r="F13" s="5" t="n">
        <v>1116.12</v>
      </c>
      <c r="G13" s="5" t="n">
        <v>3393</v>
      </c>
      <c r="H13" s="6" t="n">
        <v>1</v>
      </c>
      <c r="I13" s="5" t="n">
        <v>3393</v>
      </c>
      <c r="J13" s="6" t="n">
        <v>0</v>
      </c>
      <c r="K13" s="5" t="n">
        <v>0</v>
      </c>
      <c r="L13" s="6" t="n">
        <v>0</v>
      </c>
      <c r="M13" s="5" t="n">
        <v>0</v>
      </c>
      <c r="N13" s="6" t="n">
        <v>0</v>
      </c>
      <c r="O13" s="5" t="n">
        <v>0</v>
      </c>
      <c r="P13" s="6" t="n">
        <v>0</v>
      </c>
      <c r="Q13" s="5" t="n">
        <v>0</v>
      </c>
      <c r="R13" s="6" t="n">
        <v>0</v>
      </c>
      <c r="S13" s="5" t="n">
        <v>0</v>
      </c>
      <c r="T13" s="6">
        <f>H13+J13+L13+N13+P13+R13</f>
        <v/>
      </c>
    </row>
    <row r="14">
      <c r="A14" s="7" t="inlineStr">
        <is>
          <t>1.1.4</t>
        </is>
      </c>
      <c r="B14" s="15" t="inlineStr">
        <is>
          <t>Concreto Usinado fck 30 MPa para 32 Sapatas Isoladas (S1-S24 e SE1-SE8)</t>
        </is>
      </c>
      <c r="C14" s="7" t="inlineStr">
        <is>
          <t>Infraestrutura</t>
        </is>
      </c>
      <c r="D14" s="16" t="n">
        <v>8.550000000000001</v>
      </c>
      <c r="E14" s="7" t="inlineStr">
        <is>
          <t>m³</t>
        </is>
      </c>
      <c r="F14" s="8" t="n">
        <v>951.89</v>
      </c>
      <c r="G14" s="8" t="n">
        <v>8138.66</v>
      </c>
      <c r="H14" s="9" t="n">
        <v>1</v>
      </c>
      <c r="I14" s="8" t="n">
        <v>8138.66</v>
      </c>
      <c r="J14" s="9" t="n">
        <v>0</v>
      </c>
      <c r="K14" s="8" t="n">
        <v>0</v>
      </c>
      <c r="L14" s="9" t="n">
        <v>0</v>
      </c>
      <c r="M14" s="8" t="n">
        <v>0</v>
      </c>
      <c r="N14" s="9" t="n">
        <v>0</v>
      </c>
      <c r="O14" s="8" t="n">
        <v>0</v>
      </c>
      <c r="P14" s="9" t="n">
        <v>0</v>
      </c>
      <c r="Q14" s="8" t="n">
        <v>0</v>
      </c>
      <c r="R14" s="9" t="n">
        <v>0</v>
      </c>
      <c r="S14" s="8" t="n">
        <v>0</v>
      </c>
      <c r="T14" s="9">
        <f>H14+J14+L14+N14+P14+R14</f>
        <v/>
      </c>
    </row>
    <row r="15">
      <c r="A15" s="4" t="inlineStr">
        <is>
          <t>1.1.5</t>
        </is>
      </c>
      <c r="B15" s="13" t="inlineStr">
        <is>
          <t>Fôrma Compensado Resinado 17mm para Sapatas Isoladas (Tronco)</t>
        </is>
      </c>
      <c r="C15" s="4" t="inlineStr">
        <is>
          <t>Infraestrutura</t>
        </is>
      </c>
      <c r="D15" s="14" t="n">
        <v>35.88</v>
      </c>
      <c r="E15" s="4" t="inlineStr">
        <is>
          <t>m²</t>
        </is>
      </c>
      <c r="F15" s="5" t="n">
        <v>133.06</v>
      </c>
      <c r="G15" s="5" t="n">
        <v>4774.19</v>
      </c>
      <c r="H15" s="6" t="n">
        <v>1</v>
      </c>
      <c r="I15" s="5" t="n">
        <v>4774.19</v>
      </c>
      <c r="J15" s="6" t="n">
        <v>0</v>
      </c>
      <c r="K15" s="5" t="n">
        <v>0</v>
      </c>
      <c r="L15" s="6" t="n">
        <v>0</v>
      </c>
      <c r="M15" s="5" t="n">
        <v>0</v>
      </c>
      <c r="N15" s="6" t="n">
        <v>0</v>
      </c>
      <c r="O15" s="5" t="n">
        <v>0</v>
      </c>
      <c r="P15" s="6" t="n">
        <v>0</v>
      </c>
      <c r="Q15" s="5" t="n">
        <v>0</v>
      </c>
      <c r="R15" s="6" t="n">
        <v>0</v>
      </c>
      <c r="S15" s="5" t="n">
        <v>0</v>
      </c>
      <c r="T15" s="6">
        <f>H15+J15+L15+N15+P15+R15</f>
        <v/>
      </c>
    </row>
    <row r="16">
      <c r="A16" s="7" t="inlineStr">
        <is>
          <t>1.1.6</t>
        </is>
      </c>
      <c r="B16" s="15" t="inlineStr">
        <is>
          <t>Concreto Usinado fck 30 MPa para Arranques dos Pilares P1-P24</t>
        </is>
      </c>
      <c r="C16" s="7" t="inlineStr">
        <is>
          <t>Infraestrutura</t>
        </is>
      </c>
      <c r="D16" s="16" t="n">
        <v>1.86</v>
      </c>
      <c r="E16" s="7" t="inlineStr">
        <is>
          <t>m³</t>
        </is>
      </c>
      <c r="F16" s="8" t="n">
        <v>830.15</v>
      </c>
      <c r="G16" s="8" t="n">
        <v>1544.08</v>
      </c>
      <c r="H16" s="9" t="n">
        <v>1</v>
      </c>
      <c r="I16" s="8" t="n">
        <v>1544.08</v>
      </c>
      <c r="J16" s="9" t="n">
        <v>0</v>
      </c>
      <c r="K16" s="8" t="n">
        <v>0</v>
      </c>
      <c r="L16" s="9" t="n">
        <v>0</v>
      </c>
      <c r="M16" s="8" t="n">
        <v>0</v>
      </c>
      <c r="N16" s="9" t="n">
        <v>0</v>
      </c>
      <c r="O16" s="8" t="n">
        <v>0</v>
      </c>
      <c r="P16" s="9" t="n">
        <v>0</v>
      </c>
      <c r="Q16" s="8" t="n">
        <v>0</v>
      </c>
      <c r="R16" s="9" t="n">
        <v>0</v>
      </c>
      <c r="S16" s="8" t="n">
        <v>0</v>
      </c>
      <c r="T16" s="9">
        <f>H16+J16+L16+N16+P16+R16</f>
        <v/>
      </c>
    </row>
    <row r="17">
      <c r="A17" s="4" t="inlineStr">
        <is>
          <t>1.1.7</t>
        </is>
      </c>
      <c r="B17" s="13" t="inlineStr">
        <is>
          <t>Fôrma Compensado Resinado 17mm para Arranques dos Pilares P1-P24</t>
        </is>
      </c>
      <c r="C17" s="4" t="inlineStr">
        <is>
          <t>Infraestrutura</t>
        </is>
      </c>
      <c r="D17" s="14" t="n">
        <v>25.76</v>
      </c>
      <c r="E17" s="4" t="inlineStr">
        <is>
          <t>m²</t>
        </is>
      </c>
      <c r="F17" s="5" t="n">
        <v>176.13</v>
      </c>
      <c r="G17" s="5" t="n">
        <v>4537.11</v>
      </c>
      <c r="H17" s="6" t="n">
        <v>1</v>
      </c>
      <c r="I17" s="5" t="n">
        <v>4537.11</v>
      </c>
      <c r="J17" s="6" t="n">
        <v>0</v>
      </c>
      <c r="K17" s="5" t="n">
        <v>0</v>
      </c>
      <c r="L17" s="6" t="n">
        <v>0</v>
      </c>
      <c r="M17" s="5" t="n">
        <v>0</v>
      </c>
      <c r="N17" s="6" t="n">
        <v>0</v>
      </c>
      <c r="O17" s="5" t="n">
        <v>0</v>
      </c>
      <c r="P17" s="6" t="n">
        <v>0</v>
      </c>
      <c r="Q17" s="5" t="n">
        <v>0</v>
      </c>
      <c r="R17" s="6" t="n">
        <v>0</v>
      </c>
      <c r="S17" s="5" t="n">
        <v>0</v>
      </c>
      <c r="T17" s="6">
        <f>H17+J17+L17+N17+P17+R17</f>
        <v/>
      </c>
    </row>
    <row r="18">
      <c r="A18" s="7" t="inlineStr">
        <is>
          <t>1.1.8</t>
        </is>
      </c>
      <c r="B18" s="15" t="inlineStr">
        <is>
          <t>Concreto Usinado fck 30 MPa para Vigas Baldrames VB1-VB19 (25x40cm - 140,44m)</t>
        </is>
      </c>
      <c r="C18" s="7" t="inlineStr">
        <is>
          <t>Infraestrutura</t>
        </is>
      </c>
      <c r="D18" s="16" t="n">
        <v>14.04</v>
      </c>
      <c r="E18" s="7" t="inlineStr">
        <is>
          <t>m³</t>
        </is>
      </c>
      <c r="F18" s="8" t="n">
        <v>903.05</v>
      </c>
      <c r="G18" s="8" t="n">
        <v>12678.82</v>
      </c>
      <c r="H18" s="9" t="n">
        <v>1</v>
      </c>
      <c r="I18" s="8" t="n">
        <v>12678.82</v>
      </c>
      <c r="J18" s="9" t="n">
        <v>0</v>
      </c>
      <c r="K18" s="8" t="n">
        <v>0</v>
      </c>
      <c r="L18" s="9" t="n">
        <v>0</v>
      </c>
      <c r="M18" s="8" t="n">
        <v>0</v>
      </c>
      <c r="N18" s="9" t="n">
        <v>0</v>
      </c>
      <c r="O18" s="8" t="n">
        <v>0</v>
      </c>
      <c r="P18" s="9" t="n">
        <v>0</v>
      </c>
      <c r="Q18" s="8" t="n">
        <v>0</v>
      </c>
      <c r="R18" s="9" t="n">
        <v>0</v>
      </c>
      <c r="S18" s="8" t="n">
        <v>0</v>
      </c>
      <c r="T18" s="9">
        <f>H18+J18+L18+N18+P18+R18</f>
        <v/>
      </c>
    </row>
    <row r="19">
      <c r="A19" s="4" t="inlineStr">
        <is>
          <t>1.1.9</t>
        </is>
      </c>
      <c r="B19" s="13" t="inlineStr">
        <is>
          <t>Fôrma Compensado Resinado 17mm para Vigas Baldrames (140,44m)</t>
        </is>
      </c>
      <c r="C19" s="4" t="inlineStr">
        <is>
          <t>Infraestrutura</t>
        </is>
      </c>
      <c r="D19" s="14" t="n">
        <v>112.35</v>
      </c>
      <c r="E19" s="4" t="inlineStr">
        <is>
          <t>m²</t>
        </is>
      </c>
      <c r="F19" s="5" t="n">
        <v>146.75</v>
      </c>
      <c r="G19" s="5" t="n">
        <v>16487.36</v>
      </c>
      <c r="H19" s="6" t="n">
        <v>1</v>
      </c>
      <c r="I19" s="5" t="n">
        <v>16487.36</v>
      </c>
      <c r="J19" s="6" t="n">
        <v>0</v>
      </c>
      <c r="K19" s="5" t="n">
        <v>0</v>
      </c>
      <c r="L19" s="6" t="n">
        <v>0</v>
      </c>
      <c r="M19" s="5" t="n">
        <v>0</v>
      </c>
      <c r="N19" s="6" t="n">
        <v>0</v>
      </c>
      <c r="O19" s="5" t="n">
        <v>0</v>
      </c>
      <c r="P19" s="6" t="n">
        <v>0</v>
      </c>
      <c r="Q19" s="5" t="n">
        <v>0</v>
      </c>
      <c r="R19" s="6" t="n">
        <v>0</v>
      </c>
      <c r="S19" s="5" t="n">
        <v>0</v>
      </c>
      <c r="T19" s="6">
        <f>H19+J19+L19+N19+P19+R19</f>
        <v/>
      </c>
    </row>
    <row r="20">
      <c r="A20" s="7" t="inlineStr">
        <is>
          <t>1.1.10</t>
        </is>
      </c>
      <c r="B20" s="15" t="inlineStr">
        <is>
          <t>Armadura CA-50 Ø8,0mm (Armadura das 32 Sapatas Isoladas)</t>
        </is>
      </c>
      <c r="C20" s="7" t="inlineStr">
        <is>
          <t>Infraestrutura</t>
        </is>
      </c>
      <c r="D20" s="16" t="n">
        <v>256</v>
      </c>
      <c r="E20" s="7" t="inlineStr">
        <is>
          <t>kg</t>
        </is>
      </c>
      <c r="F20" s="8" t="n">
        <v>15.83</v>
      </c>
      <c r="G20" s="8" t="n">
        <v>4052.48</v>
      </c>
      <c r="H20" s="9" t="n">
        <v>1</v>
      </c>
      <c r="I20" s="8" t="n">
        <v>4052.48</v>
      </c>
      <c r="J20" s="9" t="n">
        <v>0</v>
      </c>
      <c r="K20" s="8" t="n">
        <v>0</v>
      </c>
      <c r="L20" s="9" t="n">
        <v>0</v>
      </c>
      <c r="M20" s="8" t="n">
        <v>0</v>
      </c>
      <c r="N20" s="9" t="n">
        <v>0</v>
      </c>
      <c r="O20" s="8" t="n">
        <v>0</v>
      </c>
      <c r="P20" s="9" t="n">
        <v>0</v>
      </c>
      <c r="Q20" s="8" t="n">
        <v>0</v>
      </c>
      <c r="R20" s="9" t="n">
        <v>0</v>
      </c>
      <c r="S20" s="8" t="n">
        <v>0</v>
      </c>
      <c r="T20" s="9">
        <f>H20+J20+L20+N20+P20+R20</f>
        <v/>
      </c>
    </row>
    <row r="21">
      <c r="A21" s="4" t="inlineStr">
        <is>
          <t>1.1.11</t>
        </is>
      </c>
      <c r="B21" s="13" t="inlineStr">
        <is>
          <t>Armadura CA-50 Ø6,3mm / Ø12,5mm (Arranques dos Pilares P1-P24)</t>
        </is>
      </c>
      <c r="C21" s="4" t="inlineStr">
        <is>
          <t>Infraestrutura</t>
        </is>
      </c>
      <c r="D21" s="14" t="n">
        <v>145.7</v>
      </c>
      <c r="E21" s="4" t="inlineStr">
        <is>
          <t>kg</t>
        </is>
      </c>
      <c r="F21" s="5" t="n">
        <v>10.58</v>
      </c>
      <c r="G21" s="5" t="n">
        <v>1541.51</v>
      </c>
      <c r="H21" s="6" t="n">
        <v>1</v>
      </c>
      <c r="I21" s="5" t="n">
        <v>1541.51</v>
      </c>
      <c r="J21" s="6" t="n">
        <v>0</v>
      </c>
      <c r="K21" s="5" t="n">
        <v>0</v>
      </c>
      <c r="L21" s="6" t="n">
        <v>0</v>
      </c>
      <c r="M21" s="5" t="n">
        <v>0</v>
      </c>
      <c r="N21" s="6" t="n">
        <v>0</v>
      </c>
      <c r="O21" s="5" t="n">
        <v>0</v>
      </c>
      <c r="P21" s="6" t="n">
        <v>0</v>
      </c>
      <c r="Q21" s="5" t="n">
        <v>0</v>
      </c>
      <c r="R21" s="6" t="n">
        <v>0</v>
      </c>
      <c r="S21" s="5" t="n">
        <v>0</v>
      </c>
      <c r="T21" s="6">
        <f>H21+J21+L21+N21+P21+R21</f>
        <v/>
      </c>
    </row>
    <row r="22">
      <c r="A22" s="7" t="inlineStr">
        <is>
          <t>1.1.12</t>
        </is>
      </c>
      <c r="B22" s="15" t="inlineStr">
        <is>
          <t>Armadura CA-50 Vigas Baldrames VB1-VB19 (EGS-053: 694,8kg + EGS-054: 382,5kg)</t>
        </is>
      </c>
      <c r="C22" s="7" t="inlineStr">
        <is>
          <t>Infraestrutura</t>
        </is>
      </c>
      <c r="D22" s="16" t="n">
        <v>1077.3</v>
      </c>
      <c r="E22" s="7" t="inlineStr">
        <is>
          <t>kg</t>
        </is>
      </c>
      <c r="F22" s="8" t="n">
        <v>13.26</v>
      </c>
      <c r="G22" s="8" t="n">
        <v>14285</v>
      </c>
      <c r="H22" s="9" t="n">
        <v>1</v>
      </c>
      <c r="I22" s="8" t="n">
        <v>14285</v>
      </c>
      <c r="J22" s="9" t="n">
        <v>0</v>
      </c>
      <c r="K22" s="8" t="n">
        <v>0</v>
      </c>
      <c r="L22" s="9" t="n">
        <v>0</v>
      </c>
      <c r="M22" s="8" t="n">
        <v>0</v>
      </c>
      <c r="N22" s="9" t="n">
        <v>0</v>
      </c>
      <c r="O22" s="8" t="n">
        <v>0</v>
      </c>
      <c r="P22" s="9" t="n">
        <v>0</v>
      </c>
      <c r="Q22" s="8" t="n">
        <v>0</v>
      </c>
      <c r="R22" s="9" t="n">
        <v>0</v>
      </c>
      <c r="S22" s="8" t="n">
        <v>0</v>
      </c>
      <c r="T22" s="9">
        <f>H22+J22+L22+N22+P22+R22</f>
        <v/>
      </c>
    </row>
    <row r="23">
      <c r="A23" s="4" t="inlineStr">
        <is>
          <t>1.1.13</t>
        </is>
      </c>
      <c r="B23" s="13" t="inlineStr">
        <is>
          <t>Impermeabilização Tinta Asfáltica (Baldrames e Sapatas)</t>
        </is>
      </c>
      <c r="C23" s="4" t="inlineStr">
        <is>
          <t>Infraestrutura</t>
        </is>
      </c>
      <c r="D23" s="14" t="n">
        <v>183.36</v>
      </c>
      <c r="E23" s="4" t="inlineStr">
        <is>
          <t>m²</t>
        </is>
      </c>
      <c r="F23" s="5" t="n">
        <v>61.04</v>
      </c>
      <c r="G23" s="5" t="n">
        <v>11192.29</v>
      </c>
      <c r="H23" s="6" t="n">
        <v>1</v>
      </c>
      <c r="I23" s="5" t="n">
        <v>11192.29</v>
      </c>
      <c r="J23" s="6" t="n">
        <v>0</v>
      </c>
      <c r="K23" s="5" t="n">
        <v>0</v>
      </c>
      <c r="L23" s="6" t="n">
        <v>0</v>
      </c>
      <c r="M23" s="5" t="n">
        <v>0</v>
      </c>
      <c r="N23" s="6" t="n">
        <v>0</v>
      </c>
      <c r="O23" s="5" t="n">
        <v>0</v>
      </c>
      <c r="P23" s="6" t="n">
        <v>0</v>
      </c>
      <c r="Q23" s="5" t="n">
        <v>0</v>
      </c>
      <c r="R23" s="6" t="n">
        <v>0</v>
      </c>
      <c r="S23" s="5" t="n">
        <v>0</v>
      </c>
      <c r="T23" s="6">
        <f>H23+J23+L23+N23+P23+R23</f>
        <v/>
      </c>
    </row>
    <row r="24">
      <c r="A24" s="7" t="inlineStr">
        <is>
          <t>1.1.14</t>
        </is>
      </c>
      <c r="B24" s="15" t="inlineStr">
        <is>
          <t>Reaterro Compactado de Cavas e Valas c/ Maço/Sapo Líquido</t>
        </is>
      </c>
      <c r="C24" s="7" t="inlineStr">
        <is>
          <t>Infraestrutura</t>
        </is>
      </c>
      <c r="D24" s="16" t="n">
        <v>31.17</v>
      </c>
      <c r="E24" s="7" t="inlineStr">
        <is>
          <t>m³</t>
        </is>
      </c>
      <c r="F24" s="8" t="n">
        <v>46.81</v>
      </c>
      <c r="G24" s="8" t="n">
        <v>1459.07</v>
      </c>
      <c r="H24" s="9" t="n">
        <v>1</v>
      </c>
      <c r="I24" s="8" t="n">
        <v>1459.07</v>
      </c>
      <c r="J24" s="9" t="n">
        <v>0</v>
      </c>
      <c r="K24" s="8" t="n">
        <v>0</v>
      </c>
      <c r="L24" s="9" t="n">
        <v>0</v>
      </c>
      <c r="M24" s="8" t="n">
        <v>0</v>
      </c>
      <c r="N24" s="9" t="n">
        <v>0</v>
      </c>
      <c r="O24" s="8" t="n">
        <v>0</v>
      </c>
      <c r="P24" s="9" t="n">
        <v>0</v>
      </c>
      <c r="Q24" s="8" t="n">
        <v>0</v>
      </c>
      <c r="R24" s="9" t="n">
        <v>0</v>
      </c>
      <c r="S24" s="8" t="n">
        <v>0</v>
      </c>
      <c r="T24" s="9">
        <f>H24+J24+L24+N24+P24+R24</f>
        <v/>
      </c>
    </row>
    <row r="25">
      <c r="A25" s="4" t="inlineStr">
        <is>
          <t>1.1.15</t>
        </is>
      </c>
      <c r="B25" s="13" t="inlineStr">
        <is>
          <t>Bota-fora e Carga de Terra c/ Empolamento 1,25 Líquido</t>
        </is>
      </c>
      <c r="C25" s="4" t="inlineStr">
        <is>
          <t>Infraestrutura</t>
        </is>
      </c>
      <c r="D25" s="14" t="n">
        <v>20.1</v>
      </c>
      <c r="E25" s="4" t="inlineStr">
        <is>
          <t>m³</t>
        </is>
      </c>
      <c r="F25" s="5" t="n">
        <v>23.53</v>
      </c>
      <c r="G25" s="5" t="n">
        <v>472.95</v>
      </c>
      <c r="H25" s="6" t="n">
        <v>1</v>
      </c>
      <c r="I25" s="5" t="n">
        <v>472.95</v>
      </c>
      <c r="J25" s="6" t="n">
        <v>0</v>
      </c>
      <c r="K25" s="5" t="n">
        <v>0</v>
      </c>
      <c r="L25" s="6" t="n">
        <v>0</v>
      </c>
      <c r="M25" s="5" t="n">
        <v>0</v>
      </c>
      <c r="N25" s="6" t="n">
        <v>0</v>
      </c>
      <c r="O25" s="5" t="n">
        <v>0</v>
      </c>
      <c r="P25" s="6" t="n">
        <v>0</v>
      </c>
      <c r="Q25" s="5" t="n">
        <v>0</v>
      </c>
      <c r="R25" s="6" t="n">
        <v>0</v>
      </c>
      <c r="S25" s="5" t="n">
        <v>0</v>
      </c>
      <c r="T25" s="6">
        <f>H25+J25+L25+N25+P25+R25</f>
        <v/>
      </c>
    </row>
    <row r="26">
      <c r="A26" s="7" t="inlineStr">
        <is>
          <t>1.2.1</t>
        </is>
      </c>
      <c r="B26" s="15" t="inlineStr">
        <is>
          <t>Concreto Usinado fck 30 MPa para Pilares P1 a P24 (h=2,98m)</t>
        </is>
      </c>
      <c r="C26" s="7" t="inlineStr">
        <is>
          <t>Supraestrutura</t>
        </is>
      </c>
      <c r="D26" s="16" t="n">
        <v>6.44</v>
      </c>
      <c r="E26" s="7" t="inlineStr">
        <is>
          <t>m³</t>
        </is>
      </c>
      <c r="F26" s="8" t="n">
        <v>830.15</v>
      </c>
      <c r="G26" s="8" t="n">
        <v>5346.17</v>
      </c>
      <c r="H26" s="9" t="n">
        <v>0</v>
      </c>
      <c r="I26" s="8" t="n">
        <v>0</v>
      </c>
      <c r="J26" s="9" t="n">
        <v>1</v>
      </c>
      <c r="K26" s="8" t="n">
        <v>5346.17</v>
      </c>
      <c r="L26" s="9" t="n">
        <v>0</v>
      </c>
      <c r="M26" s="8" t="n">
        <v>0</v>
      </c>
      <c r="N26" s="9" t="n">
        <v>0</v>
      </c>
      <c r="O26" s="8" t="n">
        <v>0</v>
      </c>
      <c r="P26" s="9" t="n">
        <v>0</v>
      </c>
      <c r="Q26" s="8" t="n">
        <v>0</v>
      </c>
      <c r="R26" s="9" t="n">
        <v>0</v>
      </c>
      <c r="S26" s="8" t="n">
        <v>0</v>
      </c>
      <c r="T26" s="9">
        <f>H26+J26+L26+N26+P26+R26</f>
        <v/>
      </c>
    </row>
    <row r="27">
      <c r="A27" s="4" t="inlineStr">
        <is>
          <t>1.2.2</t>
        </is>
      </c>
      <c r="B27" s="13" t="inlineStr">
        <is>
          <t>Fôrma Compensado Resinado 17mm para Pilares P1 a P24 (4 faces)</t>
        </is>
      </c>
      <c r="C27" s="4" t="inlineStr">
        <is>
          <t>Supraestrutura</t>
        </is>
      </c>
      <c r="D27" s="14" t="n">
        <v>85.81999999999999</v>
      </c>
      <c r="E27" s="4" t="inlineStr">
        <is>
          <t>m²</t>
        </is>
      </c>
      <c r="F27" s="5" t="n">
        <v>176.13</v>
      </c>
      <c r="G27" s="5" t="n">
        <v>15115.48</v>
      </c>
      <c r="H27" s="6" t="n">
        <v>0</v>
      </c>
      <c r="I27" s="5" t="n">
        <v>0</v>
      </c>
      <c r="J27" s="6" t="n">
        <v>1</v>
      </c>
      <c r="K27" s="5" t="n">
        <v>15115.48</v>
      </c>
      <c r="L27" s="6" t="n">
        <v>0</v>
      </c>
      <c r="M27" s="5" t="n">
        <v>0</v>
      </c>
      <c r="N27" s="6" t="n">
        <v>0</v>
      </c>
      <c r="O27" s="5" t="n">
        <v>0</v>
      </c>
      <c r="P27" s="6" t="n">
        <v>0</v>
      </c>
      <c r="Q27" s="5" t="n">
        <v>0</v>
      </c>
      <c r="R27" s="6" t="n">
        <v>0</v>
      </c>
      <c r="S27" s="5" t="n">
        <v>0</v>
      </c>
      <c r="T27" s="6">
        <f>H27+J27+L27+N27+P27+R27</f>
        <v/>
      </c>
    </row>
    <row r="28">
      <c r="A28" s="7" t="inlineStr">
        <is>
          <t>1.2.3</t>
        </is>
      </c>
      <c r="B28" s="15" t="inlineStr">
        <is>
          <t>Concreto Usinado fck 30 MPa para Vigas Superiores e Cobertura (V101 a V115)</t>
        </is>
      </c>
      <c r="C28" s="7" t="inlineStr">
        <is>
          <t>Supraestrutura</t>
        </is>
      </c>
      <c r="D28" s="16" t="n">
        <v>17.38</v>
      </c>
      <c r="E28" s="7" t="inlineStr">
        <is>
          <t>m³</t>
        </is>
      </c>
      <c r="F28" s="8" t="n">
        <v>864.74</v>
      </c>
      <c r="G28" s="8" t="n">
        <v>15029.18</v>
      </c>
      <c r="H28" s="9" t="n">
        <v>0</v>
      </c>
      <c r="I28" s="8" t="n">
        <v>0</v>
      </c>
      <c r="J28" s="9" t="n">
        <v>1</v>
      </c>
      <c r="K28" s="8" t="n">
        <v>15029.18</v>
      </c>
      <c r="L28" s="9" t="n">
        <v>0</v>
      </c>
      <c r="M28" s="8" t="n">
        <v>0</v>
      </c>
      <c r="N28" s="9" t="n">
        <v>0</v>
      </c>
      <c r="O28" s="8" t="n">
        <v>0</v>
      </c>
      <c r="P28" s="9" t="n">
        <v>0</v>
      </c>
      <c r="Q28" s="8" t="n">
        <v>0</v>
      </c>
      <c r="R28" s="9" t="n">
        <v>0</v>
      </c>
      <c r="S28" s="8" t="n">
        <v>0</v>
      </c>
      <c r="T28" s="9">
        <f>H28+J28+L28+N28+P28+R28</f>
        <v/>
      </c>
    </row>
    <row r="29">
      <c r="A29" s="4" t="inlineStr">
        <is>
          <t>1.2.4</t>
        </is>
      </c>
      <c r="B29" s="13" t="inlineStr">
        <is>
          <t>Fôrma Compensado Resinado 17mm para Vigas Superiores (fundo e laterais líquidas)</t>
        </is>
      </c>
      <c r="C29" s="4" t="inlineStr">
        <is>
          <t>Supraestrutura</t>
        </is>
      </c>
      <c r="D29" s="14" t="n">
        <v>208.62</v>
      </c>
      <c r="E29" s="4" t="inlineStr">
        <is>
          <t>m²</t>
        </is>
      </c>
      <c r="F29" s="5" t="n">
        <v>146.75</v>
      </c>
      <c r="G29" s="5" t="n">
        <v>30614.99</v>
      </c>
      <c r="H29" s="6" t="n">
        <v>0</v>
      </c>
      <c r="I29" s="5" t="n">
        <v>0</v>
      </c>
      <c r="J29" s="6" t="n">
        <v>1</v>
      </c>
      <c r="K29" s="5" t="n">
        <v>30614.99</v>
      </c>
      <c r="L29" s="6" t="n">
        <v>0</v>
      </c>
      <c r="M29" s="5" t="n">
        <v>0</v>
      </c>
      <c r="N29" s="6" t="n">
        <v>0</v>
      </c>
      <c r="O29" s="5" t="n">
        <v>0</v>
      </c>
      <c r="P29" s="6" t="n">
        <v>0</v>
      </c>
      <c r="Q29" s="5" t="n">
        <v>0</v>
      </c>
      <c r="R29" s="6" t="n">
        <v>0</v>
      </c>
      <c r="S29" s="5" t="n">
        <v>0</v>
      </c>
      <c r="T29" s="6">
        <f>H29+J29+L29+N29+P29+R29</f>
        <v/>
      </c>
    </row>
    <row r="30">
      <c r="A30" s="7" t="inlineStr">
        <is>
          <t>1.2.5</t>
        </is>
      </c>
      <c r="B30" s="15" t="inlineStr">
        <is>
          <t>Concreto Usinado fck 30 MPa para Capa de Laje Treliçada e=5cm</t>
        </is>
      </c>
      <c r="C30" s="7" t="inlineStr">
        <is>
          <t>Supraestrutura</t>
        </is>
      </c>
      <c r="D30" s="16" t="n">
        <v>13.17</v>
      </c>
      <c r="E30" s="7" t="inlineStr">
        <is>
          <t>m³</t>
        </is>
      </c>
      <c r="F30" s="8" t="n">
        <v>864.74</v>
      </c>
      <c r="G30" s="8" t="n">
        <v>11388.63</v>
      </c>
      <c r="H30" s="9" t="n">
        <v>0</v>
      </c>
      <c r="I30" s="8" t="n">
        <v>0</v>
      </c>
      <c r="J30" s="9" t="n">
        <v>1</v>
      </c>
      <c r="K30" s="8" t="n">
        <v>11388.63</v>
      </c>
      <c r="L30" s="9" t="n">
        <v>0</v>
      </c>
      <c r="M30" s="8" t="n">
        <v>0</v>
      </c>
      <c r="N30" s="9" t="n">
        <v>0</v>
      </c>
      <c r="O30" s="8" t="n">
        <v>0</v>
      </c>
      <c r="P30" s="9" t="n">
        <v>0</v>
      </c>
      <c r="Q30" s="8" t="n">
        <v>0</v>
      </c>
      <c r="R30" s="9" t="n">
        <v>0</v>
      </c>
      <c r="S30" s="8" t="n">
        <v>0</v>
      </c>
      <c r="T30" s="9">
        <f>H30+J30+L30+N30+P30+R30</f>
        <v/>
      </c>
    </row>
    <row r="31">
      <c r="A31" s="4" t="inlineStr">
        <is>
          <t>1.2.6</t>
        </is>
      </c>
      <c r="B31" s="13" t="inlineStr">
        <is>
          <t>Fôrma Compensado Resinado 17mm para Lajes (Face Inferior / Fundo)</t>
        </is>
      </c>
      <c r="C31" s="4" t="inlineStr">
        <is>
          <t>Supraestrutura</t>
        </is>
      </c>
      <c r="D31" s="14" t="n">
        <v>263.48</v>
      </c>
      <c r="E31" s="4" t="inlineStr">
        <is>
          <t>m²</t>
        </is>
      </c>
      <c r="F31" s="5" t="n">
        <v>124.88</v>
      </c>
      <c r="G31" s="5" t="n">
        <v>32903.38</v>
      </c>
      <c r="H31" s="6" t="n">
        <v>0</v>
      </c>
      <c r="I31" s="5" t="n">
        <v>0</v>
      </c>
      <c r="J31" s="6" t="n">
        <v>1</v>
      </c>
      <c r="K31" s="5" t="n">
        <v>32903.38</v>
      </c>
      <c r="L31" s="6" t="n">
        <v>0</v>
      </c>
      <c r="M31" s="5" t="n">
        <v>0</v>
      </c>
      <c r="N31" s="6" t="n">
        <v>0</v>
      </c>
      <c r="O31" s="5" t="n">
        <v>0</v>
      </c>
      <c r="P31" s="6" t="n">
        <v>0</v>
      </c>
      <c r="Q31" s="5" t="n">
        <v>0</v>
      </c>
      <c r="R31" s="6" t="n">
        <v>0</v>
      </c>
      <c r="S31" s="5" t="n">
        <v>0</v>
      </c>
      <c r="T31" s="6">
        <f>H31+J31+L31+N31+P31+R31</f>
        <v/>
      </c>
    </row>
    <row r="32">
      <c r="A32" s="7" t="inlineStr">
        <is>
          <t>1.2.7</t>
        </is>
      </c>
      <c r="B32" s="15" t="inlineStr">
        <is>
          <t>Escoramento/Cimbramento Metálico de Lajes e Vigas</t>
        </is>
      </c>
      <c r="C32" s="7" t="inlineStr">
        <is>
          <t>Supraestrutura</t>
        </is>
      </c>
      <c r="D32" s="16" t="n">
        <v>888.78</v>
      </c>
      <c r="E32" s="7" t="inlineStr">
        <is>
          <t>m²·m</t>
        </is>
      </c>
      <c r="F32" s="8" t="n">
        <v>23.53</v>
      </c>
      <c r="G32" s="8" t="n">
        <v>20912.99</v>
      </c>
      <c r="H32" s="9" t="n">
        <v>0</v>
      </c>
      <c r="I32" s="8" t="n">
        <v>0</v>
      </c>
      <c r="J32" s="9" t="n">
        <v>1</v>
      </c>
      <c r="K32" s="8" t="n">
        <v>20912.99</v>
      </c>
      <c r="L32" s="9" t="n">
        <v>0</v>
      </c>
      <c r="M32" s="8" t="n">
        <v>0</v>
      </c>
      <c r="N32" s="9" t="n">
        <v>0</v>
      </c>
      <c r="O32" s="8" t="n">
        <v>0</v>
      </c>
      <c r="P32" s="9" t="n">
        <v>0</v>
      </c>
      <c r="Q32" s="8" t="n">
        <v>0</v>
      </c>
      <c r="R32" s="9" t="n">
        <v>0</v>
      </c>
      <c r="S32" s="8" t="n">
        <v>0</v>
      </c>
      <c r="T32" s="9">
        <f>H32+J32+L32+N32+P32+R32</f>
        <v/>
      </c>
    </row>
    <row r="33">
      <c r="A33" s="4" t="inlineStr">
        <is>
          <t>1.2.8</t>
        </is>
      </c>
      <c r="B33" s="13" t="inlineStr">
        <is>
          <t>Vigotas Treliçadas TR 16745 para Lajes H12</t>
        </is>
      </c>
      <c r="C33" s="4" t="inlineStr">
        <is>
          <t>Supraestrutura</t>
        </is>
      </c>
      <c r="D33" s="14" t="n">
        <v>968.8</v>
      </c>
      <c r="E33" s="4" t="inlineStr">
        <is>
          <t>m</t>
        </is>
      </c>
      <c r="F33" s="5" t="n">
        <v>33.7</v>
      </c>
      <c r="G33" s="5" t="n">
        <v>32648.56</v>
      </c>
      <c r="H33" s="6" t="n">
        <v>0</v>
      </c>
      <c r="I33" s="5" t="n">
        <v>0</v>
      </c>
      <c r="J33" s="6" t="n">
        <v>1</v>
      </c>
      <c r="K33" s="5" t="n">
        <v>32648.56</v>
      </c>
      <c r="L33" s="6" t="n">
        <v>0</v>
      </c>
      <c r="M33" s="5" t="n">
        <v>0</v>
      </c>
      <c r="N33" s="6" t="n">
        <v>0</v>
      </c>
      <c r="O33" s="5" t="n">
        <v>0</v>
      </c>
      <c r="P33" s="6" t="n">
        <v>0</v>
      </c>
      <c r="Q33" s="5" t="n">
        <v>0</v>
      </c>
      <c r="R33" s="6" t="n">
        <v>0</v>
      </c>
      <c r="S33" s="5" t="n">
        <v>0</v>
      </c>
      <c r="T33" s="6">
        <f>H33+J33+L33+N33+P33+R33</f>
        <v/>
      </c>
    </row>
    <row r="34">
      <c r="A34" s="7" t="inlineStr">
        <is>
          <t>1.2.9</t>
        </is>
      </c>
      <c r="B34" s="15" t="inlineStr">
        <is>
          <t>Enchimento com Blocos de EPS B16/30/100 para Lajes H12</t>
        </is>
      </c>
      <c r="C34" s="7" t="inlineStr">
        <is>
          <t>Supraestrutura</t>
        </is>
      </c>
      <c r="D34" s="16" t="n">
        <v>1148</v>
      </c>
      <c r="E34" s="7" t="inlineStr">
        <is>
          <t>unid</t>
        </is>
      </c>
      <c r="F34" s="8" t="n">
        <v>0.13</v>
      </c>
      <c r="G34" s="8" t="n">
        <v>149.24</v>
      </c>
      <c r="H34" s="9" t="n">
        <v>0</v>
      </c>
      <c r="I34" s="8" t="n">
        <v>0</v>
      </c>
      <c r="J34" s="9" t="n">
        <v>1</v>
      </c>
      <c r="K34" s="8" t="n">
        <v>149.24</v>
      </c>
      <c r="L34" s="9" t="n">
        <v>0</v>
      </c>
      <c r="M34" s="8" t="n">
        <v>0</v>
      </c>
      <c r="N34" s="9" t="n">
        <v>0</v>
      </c>
      <c r="O34" s="8" t="n">
        <v>0</v>
      </c>
      <c r="P34" s="9" t="n">
        <v>0</v>
      </c>
      <c r="Q34" s="8" t="n">
        <v>0</v>
      </c>
      <c r="R34" s="9" t="n">
        <v>0</v>
      </c>
      <c r="S34" s="8" t="n">
        <v>0</v>
      </c>
      <c r="T34" s="9">
        <f>H34+J34+L34+N34+P34+R34</f>
        <v/>
      </c>
    </row>
    <row r="35">
      <c r="A35" s="4" t="inlineStr">
        <is>
          <t>1.2.10</t>
        </is>
      </c>
      <c r="B35" s="13" t="inlineStr">
        <is>
          <t>Armadura CA-50 Pilares e Vigas (EGS-060: 395,0kg + EGS-056/057: 1.485,1kg)</t>
        </is>
      </c>
      <c r="C35" s="4" t="inlineStr">
        <is>
          <t>Supraestrutura</t>
        </is>
      </c>
      <c r="D35" s="14" t="n">
        <v>1880.1</v>
      </c>
      <c r="E35" s="4" t="inlineStr">
        <is>
          <t>kg</t>
        </is>
      </c>
      <c r="F35" s="5" t="n">
        <v>12.83</v>
      </c>
      <c r="G35" s="5" t="n">
        <v>24121.68</v>
      </c>
      <c r="H35" s="6" t="n">
        <v>0</v>
      </c>
      <c r="I35" s="5" t="n">
        <v>0</v>
      </c>
      <c r="J35" s="6" t="n">
        <v>1</v>
      </c>
      <c r="K35" s="5" t="n">
        <v>24121.68</v>
      </c>
      <c r="L35" s="6" t="n">
        <v>0</v>
      </c>
      <c r="M35" s="5" t="n">
        <v>0</v>
      </c>
      <c r="N35" s="6" t="n">
        <v>0</v>
      </c>
      <c r="O35" s="5" t="n">
        <v>0</v>
      </c>
      <c r="P35" s="6" t="n">
        <v>0</v>
      </c>
      <c r="Q35" s="5" t="n">
        <v>0</v>
      </c>
      <c r="R35" s="6" t="n">
        <v>0</v>
      </c>
      <c r="S35" s="5" t="n">
        <v>0</v>
      </c>
      <c r="T35" s="6">
        <f>H35+J35+L35+N35+P35+R35</f>
        <v/>
      </c>
    </row>
    <row r="36">
      <c r="A36" s="7" t="inlineStr">
        <is>
          <t>1.2.11</t>
        </is>
      </c>
      <c r="B36" s="15" t="inlineStr">
        <is>
          <t>Armadura CA-60 para Lajes Treliçadas H12 (Prancha EGS-059)</t>
        </is>
      </c>
      <c r="C36" s="7" t="inlineStr">
        <is>
          <t>Supraestrutura</t>
        </is>
      </c>
      <c r="D36" s="16" t="n">
        <v>999.8</v>
      </c>
      <c r="E36" s="7" t="inlineStr">
        <is>
          <t>kg</t>
        </is>
      </c>
      <c r="F36" s="8" t="n">
        <v>12.04</v>
      </c>
      <c r="G36" s="8" t="n">
        <v>12037.59</v>
      </c>
      <c r="H36" s="9" t="n">
        <v>0</v>
      </c>
      <c r="I36" s="8" t="n">
        <v>0</v>
      </c>
      <c r="J36" s="9" t="n">
        <v>1</v>
      </c>
      <c r="K36" s="8" t="n">
        <v>12037.59</v>
      </c>
      <c r="L36" s="9" t="n">
        <v>0</v>
      </c>
      <c r="M36" s="8" t="n">
        <v>0</v>
      </c>
      <c r="N36" s="9" t="n">
        <v>0</v>
      </c>
      <c r="O36" s="8" t="n">
        <v>0</v>
      </c>
      <c r="P36" s="9" t="n">
        <v>0</v>
      </c>
      <c r="Q36" s="8" t="n">
        <v>0</v>
      </c>
      <c r="R36" s="9" t="n">
        <v>0</v>
      </c>
      <c r="S36" s="8" t="n">
        <v>0</v>
      </c>
      <c r="T36" s="9">
        <f>H36+J36+L36+N36+P36+R36</f>
        <v/>
      </c>
    </row>
    <row r="37">
      <c r="A37" s="4" t="inlineStr">
        <is>
          <t>2.1.1.1</t>
        </is>
      </c>
      <c r="B37" s="13" t="inlineStr">
        <is>
          <t>Bloco Concreto Inteiro B144 (14x19x39cm)</t>
        </is>
      </c>
      <c r="C37" s="4" t="inlineStr">
        <is>
          <t>Arquitetura</t>
        </is>
      </c>
      <c r="D37" s="14" t="n">
        <v>12733</v>
      </c>
      <c r="E37" s="4" t="inlineStr">
        <is>
          <t>unid</t>
        </is>
      </c>
      <c r="F37" s="5" t="n">
        <v>7.35</v>
      </c>
      <c r="G37" s="5" t="n">
        <v>93587.55</v>
      </c>
      <c r="H37" s="6" t="n">
        <v>0</v>
      </c>
      <c r="I37" s="5" t="n">
        <v>0</v>
      </c>
      <c r="J37" s="6" t="n">
        <v>0</v>
      </c>
      <c r="K37" s="5" t="n">
        <v>0</v>
      </c>
      <c r="L37" s="6" t="n">
        <v>1</v>
      </c>
      <c r="M37" s="5" t="n">
        <v>93587.55</v>
      </c>
      <c r="N37" s="6" t="n">
        <v>0</v>
      </c>
      <c r="O37" s="5" t="n">
        <v>0</v>
      </c>
      <c r="P37" s="6" t="n">
        <v>0</v>
      </c>
      <c r="Q37" s="5" t="n">
        <v>0</v>
      </c>
      <c r="R37" s="6" t="n">
        <v>0</v>
      </c>
      <c r="S37" s="5" t="n">
        <v>0</v>
      </c>
      <c r="T37" s="6">
        <f>H37+J37+L37+N37+P37+R37</f>
        <v/>
      </c>
    </row>
    <row r="38">
      <c r="A38" s="7" t="inlineStr">
        <is>
          <t>2.1.1.2</t>
        </is>
      </c>
      <c r="B38" s="15" t="inlineStr">
        <is>
          <t>Meio Bloco Concreto B142 (14x19x19cm)</t>
        </is>
      </c>
      <c r="C38" s="7" t="inlineStr">
        <is>
          <t>Arquitetura</t>
        </is>
      </c>
      <c r="D38" s="16" t="n">
        <v>508</v>
      </c>
      <c r="E38" s="7" t="inlineStr">
        <is>
          <t>unid</t>
        </is>
      </c>
      <c r="F38" s="8" t="n">
        <v>4.9</v>
      </c>
      <c r="G38" s="8" t="n">
        <v>2489.2</v>
      </c>
      <c r="H38" s="9" t="n">
        <v>0</v>
      </c>
      <c r="I38" s="8" t="n">
        <v>0</v>
      </c>
      <c r="J38" s="9" t="n">
        <v>0</v>
      </c>
      <c r="K38" s="8" t="n">
        <v>0</v>
      </c>
      <c r="L38" s="9" t="n">
        <v>1</v>
      </c>
      <c r="M38" s="8" t="n">
        <v>2489.2</v>
      </c>
      <c r="N38" s="9" t="n">
        <v>0</v>
      </c>
      <c r="O38" s="8" t="n">
        <v>0</v>
      </c>
      <c r="P38" s="9" t="n">
        <v>0</v>
      </c>
      <c r="Q38" s="8" t="n">
        <v>0</v>
      </c>
      <c r="R38" s="9" t="n">
        <v>0</v>
      </c>
      <c r="S38" s="8" t="n">
        <v>0</v>
      </c>
      <c r="T38" s="9">
        <f>H38+J38+L38+N38+P38+R38</f>
        <v/>
      </c>
    </row>
    <row r="39">
      <c r="A39" s="4" t="inlineStr">
        <is>
          <t>2.1.1.3</t>
        </is>
      </c>
      <c r="B39" s="13" t="inlineStr">
        <is>
          <t>Bloco Canaleta Concreto C144 (14x19x39cm)</t>
        </is>
      </c>
      <c r="C39" s="4" t="inlineStr">
        <is>
          <t>Arquitetura</t>
        </is>
      </c>
      <c r="D39" s="14" t="n">
        <v>281</v>
      </c>
      <c r="E39" s="4" t="inlineStr">
        <is>
          <t>unid</t>
        </is>
      </c>
      <c r="F39" s="5" t="n">
        <v>9.16</v>
      </c>
      <c r="G39" s="5" t="n">
        <v>2573.96</v>
      </c>
      <c r="H39" s="6" t="n">
        <v>0</v>
      </c>
      <c r="I39" s="5" t="n">
        <v>0</v>
      </c>
      <c r="J39" s="6" t="n">
        <v>0</v>
      </c>
      <c r="K39" s="5" t="n">
        <v>0</v>
      </c>
      <c r="L39" s="6" t="n">
        <v>1</v>
      </c>
      <c r="M39" s="5" t="n">
        <v>2573.96</v>
      </c>
      <c r="N39" s="6" t="n">
        <v>0</v>
      </c>
      <c r="O39" s="5" t="n">
        <v>0</v>
      </c>
      <c r="P39" s="6" t="n">
        <v>0</v>
      </c>
      <c r="Q39" s="5" t="n">
        <v>0</v>
      </c>
      <c r="R39" s="6" t="n">
        <v>0</v>
      </c>
      <c r="S39" s="5" t="n">
        <v>0</v>
      </c>
      <c r="T39" s="6">
        <f>H39+J39+L39+N39+P39+R39</f>
        <v/>
      </c>
    </row>
    <row r="40">
      <c r="A40" s="7" t="inlineStr">
        <is>
          <t>2.1.1.4</t>
        </is>
      </c>
      <c r="B40" s="15" t="inlineStr">
        <is>
          <t>Graute Fino Industrializado p/ Canaletas</t>
        </is>
      </c>
      <c r="C40" s="7" t="inlineStr">
        <is>
          <t>Arquitetura</t>
        </is>
      </c>
      <c r="D40" s="16" t="n">
        <v>1.42</v>
      </c>
      <c r="E40" s="7" t="inlineStr">
        <is>
          <t>m³</t>
        </is>
      </c>
      <c r="F40" s="8" t="n">
        <v>1682.4</v>
      </c>
      <c r="G40" s="8" t="n">
        <v>2389.01</v>
      </c>
      <c r="H40" s="9" t="n">
        <v>0</v>
      </c>
      <c r="I40" s="8" t="n">
        <v>0</v>
      </c>
      <c r="J40" s="9" t="n">
        <v>0</v>
      </c>
      <c r="K40" s="8" t="n">
        <v>0</v>
      </c>
      <c r="L40" s="9" t="n">
        <v>1</v>
      </c>
      <c r="M40" s="8" t="n">
        <v>2389.01</v>
      </c>
      <c r="N40" s="9" t="n">
        <v>0</v>
      </c>
      <c r="O40" s="8" t="n">
        <v>0</v>
      </c>
      <c r="P40" s="9" t="n">
        <v>0</v>
      </c>
      <c r="Q40" s="8" t="n">
        <v>0</v>
      </c>
      <c r="R40" s="9" t="n">
        <v>0</v>
      </c>
      <c r="S40" s="8" t="n">
        <v>0</v>
      </c>
      <c r="T40" s="9">
        <f>H40+J40+L40+N40+P40+R40</f>
        <v/>
      </c>
    </row>
    <row r="41">
      <c r="A41" s="4" t="inlineStr">
        <is>
          <t>2.1.1.5</t>
        </is>
      </c>
      <c r="B41" s="13" t="inlineStr">
        <is>
          <t>Barra de Aço CA-50 Ø8,0mm p/ Vergas/Contravergas</t>
        </is>
      </c>
      <c r="C41" s="4" t="inlineStr">
        <is>
          <t>Arquitetura</t>
        </is>
      </c>
      <c r="D41" s="14" t="n">
        <v>224.8</v>
      </c>
      <c r="E41" s="4" t="inlineStr">
        <is>
          <t>m</t>
        </is>
      </c>
      <c r="F41" s="5" t="n">
        <v>3.34</v>
      </c>
      <c r="G41" s="5" t="n">
        <v>750.83</v>
      </c>
      <c r="H41" s="6" t="n">
        <v>0</v>
      </c>
      <c r="I41" s="5" t="n">
        <v>0</v>
      </c>
      <c r="J41" s="6" t="n">
        <v>0</v>
      </c>
      <c r="K41" s="5" t="n">
        <v>0</v>
      </c>
      <c r="L41" s="6" t="n">
        <v>1</v>
      </c>
      <c r="M41" s="5" t="n">
        <v>750.83</v>
      </c>
      <c r="N41" s="6" t="n">
        <v>0</v>
      </c>
      <c r="O41" s="5" t="n">
        <v>0</v>
      </c>
      <c r="P41" s="6" t="n">
        <v>0</v>
      </c>
      <c r="Q41" s="5" t="n">
        <v>0</v>
      </c>
      <c r="R41" s="6" t="n">
        <v>0</v>
      </c>
      <c r="S41" s="5" t="n">
        <v>0</v>
      </c>
      <c r="T41" s="6">
        <f>H41+J41+L41+N41+P41+R41</f>
        <v/>
      </c>
    </row>
    <row r="42">
      <c r="A42" s="7" t="inlineStr">
        <is>
          <t>2.1.1.6</t>
        </is>
      </c>
      <c r="B42" s="15" t="inlineStr">
        <is>
          <t>Cimento Portland CP II-E-32 (Argamassa Assentamento)</t>
        </is>
      </c>
      <c r="C42" s="7" t="inlineStr">
        <is>
          <t>Arquitetura</t>
        </is>
      </c>
      <c r="D42" s="16" t="n">
        <v>5519</v>
      </c>
      <c r="E42" s="7" t="inlineStr">
        <is>
          <t>kg</t>
        </is>
      </c>
      <c r="F42" s="8" t="n">
        <v>0.89</v>
      </c>
      <c r="G42" s="8" t="n">
        <v>4911.91</v>
      </c>
      <c r="H42" s="9" t="n">
        <v>0</v>
      </c>
      <c r="I42" s="8" t="n">
        <v>0</v>
      </c>
      <c r="J42" s="9" t="n">
        <v>0</v>
      </c>
      <c r="K42" s="8" t="n">
        <v>0</v>
      </c>
      <c r="L42" s="9" t="n">
        <v>1</v>
      </c>
      <c r="M42" s="8" t="n">
        <v>4911.91</v>
      </c>
      <c r="N42" s="9" t="n">
        <v>0</v>
      </c>
      <c r="O42" s="8" t="n">
        <v>0</v>
      </c>
      <c r="P42" s="9" t="n">
        <v>0</v>
      </c>
      <c r="Q42" s="8" t="n">
        <v>0</v>
      </c>
      <c r="R42" s="9" t="n">
        <v>0</v>
      </c>
      <c r="S42" s="8" t="n">
        <v>0</v>
      </c>
      <c r="T42" s="9">
        <f>H42+J42+L42+N42+P42+R42</f>
        <v/>
      </c>
    </row>
    <row r="43">
      <c r="A43" s="4" t="inlineStr">
        <is>
          <t>2.1.1.7</t>
        </is>
      </c>
      <c r="B43" s="13" t="inlineStr">
        <is>
          <t>Cal Hidratada CH-I (Argamassa Assentamento)</t>
        </is>
      </c>
      <c r="C43" s="4" t="inlineStr">
        <is>
          <t>Arquitetura</t>
        </is>
      </c>
      <c r="D43" s="14" t="n">
        <v>1910</v>
      </c>
      <c r="E43" s="4" t="inlineStr">
        <is>
          <t>kg</t>
        </is>
      </c>
      <c r="F43" s="5" t="n">
        <v>1.46</v>
      </c>
      <c r="G43" s="5" t="n">
        <v>2788.6</v>
      </c>
      <c r="H43" s="6" t="n">
        <v>0</v>
      </c>
      <c r="I43" s="5" t="n">
        <v>0</v>
      </c>
      <c r="J43" s="6" t="n">
        <v>0</v>
      </c>
      <c r="K43" s="5" t="n">
        <v>0</v>
      </c>
      <c r="L43" s="6" t="n">
        <v>1</v>
      </c>
      <c r="M43" s="5" t="n">
        <v>2788.6</v>
      </c>
      <c r="N43" s="6" t="n">
        <v>0</v>
      </c>
      <c r="O43" s="5" t="n">
        <v>0</v>
      </c>
      <c r="P43" s="6" t="n">
        <v>0</v>
      </c>
      <c r="Q43" s="5" t="n">
        <v>0</v>
      </c>
      <c r="R43" s="6" t="n">
        <v>0</v>
      </c>
      <c r="S43" s="5" t="n">
        <v>0</v>
      </c>
      <c r="T43" s="6">
        <f>H43+J43+L43+N43+P43+R43</f>
        <v/>
      </c>
    </row>
    <row r="44">
      <c r="A44" s="7" t="inlineStr">
        <is>
          <t>2.1.1.8</t>
        </is>
      </c>
      <c r="B44" s="15" t="inlineStr">
        <is>
          <t>Areia Média Lavada (Argamassa Assentamento)</t>
        </is>
      </c>
      <c r="C44" s="7" t="inlineStr">
        <is>
          <t>Arquitetura</t>
        </is>
      </c>
      <c r="D44" s="16" t="n">
        <v>23.35</v>
      </c>
      <c r="E44" s="7" t="inlineStr">
        <is>
          <t>m³</t>
        </is>
      </c>
      <c r="F44" s="8" t="n">
        <v>117</v>
      </c>
      <c r="G44" s="8" t="n">
        <v>2731.95</v>
      </c>
      <c r="H44" s="9" t="n">
        <v>0</v>
      </c>
      <c r="I44" s="8" t="n">
        <v>0</v>
      </c>
      <c r="J44" s="9" t="n">
        <v>0</v>
      </c>
      <c r="K44" s="8" t="n">
        <v>0</v>
      </c>
      <c r="L44" s="9" t="n">
        <v>1</v>
      </c>
      <c r="M44" s="8" t="n">
        <v>2731.95</v>
      </c>
      <c r="N44" s="9" t="n">
        <v>0</v>
      </c>
      <c r="O44" s="8" t="n">
        <v>0</v>
      </c>
      <c r="P44" s="9" t="n">
        <v>0</v>
      </c>
      <c r="Q44" s="8" t="n">
        <v>0</v>
      </c>
      <c r="R44" s="9" t="n">
        <v>0</v>
      </c>
      <c r="S44" s="8" t="n">
        <v>0</v>
      </c>
      <c r="T44" s="9">
        <f>H44+J44+L44+N44+P44+R44</f>
        <v/>
      </c>
    </row>
    <row r="45">
      <c r="A45" s="4" t="inlineStr">
        <is>
          <t>2.1.1.9</t>
        </is>
      </c>
      <c r="B45" s="13" t="inlineStr">
        <is>
          <t>Tela Metálica Galvanizada 15x50cm Amarração Pilar</t>
        </is>
      </c>
      <c r="C45" s="4" t="inlineStr">
        <is>
          <t>Arquitetura</t>
        </is>
      </c>
      <c r="D45" s="14" t="n">
        <v>336</v>
      </c>
      <c r="E45" s="4" t="inlineStr">
        <is>
          <t>unid</t>
        </is>
      </c>
      <c r="F45" s="5" t="n">
        <v>5.72</v>
      </c>
      <c r="G45" s="5" t="n">
        <v>1921.92</v>
      </c>
      <c r="H45" s="6" t="n">
        <v>0</v>
      </c>
      <c r="I45" s="5" t="n">
        <v>0</v>
      </c>
      <c r="J45" s="6" t="n">
        <v>0</v>
      </c>
      <c r="K45" s="5" t="n">
        <v>0</v>
      </c>
      <c r="L45" s="6" t="n">
        <v>1</v>
      </c>
      <c r="M45" s="5" t="n">
        <v>1921.92</v>
      </c>
      <c r="N45" s="6" t="n">
        <v>0</v>
      </c>
      <c r="O45" s="5" t="n">
        <v>0</v>
      </c>
      <c r="P45" s="6" t="n">
        <v>0</v>
      </c>
      <c r="Q45" s="5" t="n">
        <v>0</v>
      </c>
      <c r="R45" s="6" t="n">
        <v>0</v>
      </c>
      <c r="S45" s="5" t="n">
        <v>0</v>
      </c>
      <c r="T45" s="6">
        <f>H45+J45+L45+N45+P45+R45</f>
        <v/>
      </c>
    </row>
    <row r="46">
      <c r="A46" s="7" t="inlineStr">
        <is>
          <t>2.1.1.10</t>
        </is>
      </c>
      <c r="B46" s="15" t="inlineStr">
        <is>
          <t>Pinos de Aço c/ Arruela p/ Finca-Pinos à Pólvora</t>
        </is>
      </c>
      <c r="C46" s="7" t="inlineStr">
        <is>
          <t>Arquitetura</t>
        </is>
      </c>
      <c r="D46" s="16" t="n">
        <v>706</v>
      </c>
      <c r="E46" s="7" t="inlineStr">
        <is>
          <t>unid</t>
        </is>
      </c>
      <c r="F46" s="8" t="n">
        <v>0.83</v>
      </c>
      <c r="G46" s="8" t="n">
        <v>585.98</v>
      </c>
      <c r="H46" s="9" t="n">
        <v>0</v>
      </c>
      <c r="I46" s="8" t="n">
        <v>0</v>
      </c>
      <c r="J46" s="9" t="n">
        <v>0</v>
      </c>
      <c r="K46" s="8" t="n">
        <v>0</v>
      </c>
      <c r="L46" s="9" t="n">
        <v>1</v>
      </c>
      <c r="M46" s="8" t="n">
        <v>585.98</v>
      </c>
      <c r="N46" s="9" t="n">
        <v>0</v>
      </c>
      <c r="O46" s="8" t="n">
        <v>0</v>
      </c>
      <c r="P46" s="9" t="n">
        <v>0</v>
      </c>
      <c r="Q46" s="8" t="n">
        <v>0</v>
      </c>
      <c r="R46" s="9" t="n">
        <v>0</v>
      </c>
      <c r="S46" s="8" t="n">
        <v>0</v>
      </c>
      <c r="T46" s="9">
        <f>H46+J46+L46+N46+P46+R46</f>
        <v/>
      </c>
    </row>
    <row r="47">
      <c r="A47" s="4" t="inlineStr">
        <is>
          <t>2.1.1.11</t>
        </is>
      </c>
      <c r="B47" s="13" t="inlineStr">
        <is>
          <t>Encunhamento Flexível no Topo da Parede (sob vigas)</t>
        </is>
      </c>
      <c r="C47" s="4" t="inlineStr">
        <is>
          <t>Arquitetura</t>
        </is>
      </c>
      <c r="D47" s="14" t="n">
        <v>385</v>
      </c>
      <c r="E47" s="4" t="inlineStr">
        <is>
          <t>m</t>
        </is>
      </c>
      <c r="F47" s="5" t="n">
        <v>16.28</v>
      </c>
      <c r="G47" s="5" t="n">
        <v>6267.8</v>
      </c>
      <c r="H47" s="6" t="n">
        <v>0</v>
      </c>
      <c r="I47" s="5" t="n">
        <v>0</v>
      </c>
      <c r="J47" s="6" t="n">
        <v>0</v>
      </c>
      <c r="K47" s="5" t="n">
        <v>0</v>
      </c>
      <c r="L47" s="6" t="n">
        <v>1</v>
      </c>
      <c r="M47" s="5" t="n">
        <v>6267.8</v>
      </c>
      <c r="N47" s="6" t="n">
        <v>0</v>
      </c>
      <c r="O47" s="5" t="n">
        <v>0</v>
      </c>
      <c r="P47" s="6" t="n">
        <v>0</v>
      </c>
      <c r="Q47" s="5" t="n">
        <v>0</v>
      </c>
      <c r="R47" s="6" t="n">
        <v>0</v>
      </c>
      <c r="S47" s="5" t="n">
        <v>0</v>
      </c>
      <c r="T47" s="6">
        <f>H47+J47+L47+N47+P47+R47</f>
        <v/>
      </c>
    </row>
    <row r="48">
      <c r="A48" s="7" t="inlineStr">
        <is>
          <t>2.1.2</t>
        </is>
      </c>
      <c r="B48" s="15" t="inlineStr">
        <is>
          <t>Chapisco Traço 1:3 e=5mm em Paredes</t>
        </is>
      </c>
      <c r="C48" s="7" t="inlineStr">
        <is>
          <t>Arquitetura</t>
        </is>
      </c>
      <c r="D48" s="16" t="n">
        <v>2122.88</v>
      </c>
      <c r="E48" s="7" t="inlineStr">
        <is>
          <t>m²</t>
        </is>
      </c>
      <c r="F48" s="8" t="n">
        <v>7.87</v>
      </c>
      <c r="G48" s="8" t="n">
        <v>16707.07</v>
      </c>
      <c r="H48" s="9" t="n">
        <v>0</v>
      </c>
      <c r="I48" s="8" t="n">
        <v>0</v>
      </c>
      <c r="J48" s="9" t="n">
        <v>0</v>
      </c>
      <c r="K48" s="8" t="n">
        <v>0</v>
      </c>
      <c r="L48" s="9" t="n">
        <v>0.5</v>
      </c>
      <c r="M48" s="8" t="n">
        <v>8353.540000000001</v>
      </c>
      <c r="N48" s="9" t="n">
        <v>0.5</v>
      </c>
      <c r="O48" s="8" t="n">
        <v>8353.530000000001</v>
      </c>
      <c r="P48" s="9" t="n">
        <v>0</v>
      </c>
      <c r="Q48" s="8" t="n">
        <v>0</v>
      </c>
      <c r="R48" s="9" t="n">
        <v>0</v>
      </c>
      <c r="S48" s="8" t="n">
        <v>0</v>
      </c>
      <c r="T48" s="9">
        <f>H48+J48+L48+N48+P48+R48</f>
        <v/>
      </c>
    </row>
    <row r="49">
      <c r="A49" s="4" t="inlineStr">
        <is>
          <t>2.1.3</t>
        </is>
      </c>
      <c r="B49" s="13" t="inlineStr">
        <is>
          <t>Emboço/Reboco Paulista e=20mm em Paredes</t>
        </is>
      </c>
      <c r="C49" s="4" t="inlineStr">
        <is>
          <t>Arquitetura</t>
        </is>
      </c>
      <c r="D49" s="14" t="n">
        <v>2122.88</v>
      </c>
      <c r="E49" s="4" t="inlineStr">
        <is>
          <t>m²</t>
        </is>
      </c>
      <c r="F49" s="5" t="n">
        <v>55.87</v>
      </c>
      <c r="G49" s="5" t="n">
        <v>118605.31</v>
      </c>
      <c r="H49" s="6" t="n">
        <v>0</v>
      </c>
      <c r="I49" s="5" t="n">
        <v>0</v>
      </c>
      <c r="J49" s="6" t="n">
        <v>0</v>
      </c>
      <c r="K49" s="5" t="n">
        <v>0</v>
      </c>
      <c r="L49" s="6" t="n">
        <v>0</v>
      </c>
      <c r="M49" s="5" t="n">
        <v>0</v>
      </c>
      <c r="N49" s="6" t="n">
        <v>1</v>
      </c>
      <c r="O49" s="5" t="n">
        <v>118605.31</v>
      </c>
      <c r="P49" s="6" t="n">
        <v>0</v>
      </c>
      <c r="Q49" s="5" t="n">
        <v>0</v>
      </c>
      <c r="R49" s="6" t="n">
        <v>0</v>
      </c>
      <c r="S49" s="5" t="n">
        <v>0</v>
      </c>
      <c r="T49" s="6">
        <f>H49+J49+L49+N49+P49+R49</f>
        <v/>
      </c>
    </row>
    <row r="50">
      <c r="A50" s="7" t="inlineStr">
        <is>
          <t>2.1.4</t>
        </is>
      </c>
      <c r="B50" s="15" t="inlineStr">
        <is>
          <t>Contrapiso de Regularização e=3cm</t>
        </is>
      </c>
      <c r="C50" s="7" t="inlineStr">
        <is>
          <t>Arquitetura</t>
        </is>
      </c>
      <c r="D50" s="16" t="n">
        <v>368.4</v>
      </c>
      <c r="E50" s="7" t="inlineStr">
        <is>
          <t>m²</t>
        </is>
      </c>
      <c r="F50" s="8" t="n">
        <v>43.89</v>
      </c>
      <c r="G50" s="8" t="n">
        <v>16169.08</v>
      </c>
      <c r="H50" s="9" t="n">
        <v>0</v>
      </c>
      <c r="I50" s="8" t="n">
        <v>0</v>
      </c>
      <c r="J50" s="9" t="n">
        <v>0</v>
      </c>
      <c r="K50" s="8" t="n">
        <v>0</v>
      </c>
      <c r="L50" s="9" t="n">
        <v>0</v>
      </c>
      <c r="M50" s="8" t="n">
        <v>0</v>
      </c>
      <c r="N50" s="9" t="n">
        <v>0</v>
      </c>
      <c r="O50" s="8" t="n">
        <v>0</v>
      </c>
      <c r="P50" s="9" t="n">
        <v>1</v>
      </c>
      <c r="Q50" s="8" t="n">
        <v>16169.08</v>
      </c>
      <c r="R50" s="9" t="n">
        <v>0</v>
      </c>
      <c r="S50" s="8" t="n">
        <v>0</v>
      </c>
      <c r="T50" s="9">
        <f>H50+J50+L50+N50+P50+R50</f>
        <v/>
      </c>
    </row>
    <row r="51">
      <c r="A51" s="4" t="inlineStr">
        <is>
          <t>2.1.5.1</t>
        </is>
      </c>
      <c r="B51" s="13" t="inlineStr">
        <is>
          <t>Piso Porcelanato 60x60cm Retificado</t>
        </is>
      </c>
      <c r="C51" s="4" t="inlineStr">
        <is>
          <t>Arquitetura</t>
        </is>
      </c>
      <c r="D51" s="14" t="n">
        <v>368.4</v>
      </c>
      <c r="E51" s="4" t="inlineStr">
        <is>
          <t>m²</t>
        </is>
      </c>
      <c r="F51" s="5" t="n">
        <v>157.14</v>
      </c>
      <c r="G51" s="5" t="n">
        <v>57890.38</v>
      </c>
      <c r="H51" s="6" t="n">
        <v>0</v>
      </c>
      <c r="I51" s="5" t="n">
        <v>0</v>
      </c>
      <c r="J51" s="6" t="n">
        <v>0</v>
      </c>
      <c r="K51" s="5" t="n">
        <v>0</v>
      </c>
      <c r="L51" s="6" t="n">
        <v>0</v>
      </c>
      <c r="M51" s="5" t="n">
        <v>0</v>
      </c>
      <c r="N51" s="6" t="n">
        <v>0</v>
      </c>
      <c r="O51" s="5" t="n">
        <v>0</v>
      </c>
      <c r="P51" s="6" t="n">
        <v>1</v>
      </c>
      <c r="Q51" s="5" t="n">
        <v>57890.38</v>
      </c>
      <c r="R51" s="6" t="n">
        <v>0</v>
      </c>
      <c r="S51" s="5" t="n">
        <v>0</v>
      </c>
      <c r="T51" s="6">
        <f>H51+J51+L51+N51+P51+R51</f>
        <v/>
      </c>
    </row>
    <row r="52">
      <c r="A52" s="7" t="inlineStr">
        <is>
          <t>2.1.5.2</t>
        </is>
      </c>
      <c r="B52" s="15" t="inlineStr">
        <is>
          <t>Argamassa Colante AC-III p/ Porcelanato (Dupla Colagem)</t>
        </is>
      </c>
      <c r="C52" s="7" t="inlineStr">
        <is>
          <t>Arquitetura</t>
        </is>
      </c>
      <c r="D52" s="16" t="n">
        <v>3684</v>
      </c>
      <c r="E52" s="7" t="inlineStr">
        <is>
          <t>kg</t>
        </is>
      </c>
      <c r="F52" s="8" t="n">
        <v>2.81</v>
      </c>
      <c r="G52" s="8" t="n">
        <v>10352.04</v>
      </c>
      <c r="H52" s="9" t="n">
        <v>0</v>
      </c>
      <c r="I52" s="8" t="n">
        <v>0</v>
      </c>
      <c r="J52" s="9" t="n">
        <v>0</v>
      </c>
      <c r="K52" s="8" t="n">
        <v>0</v>
      </c>
      <c r="L52" s="9" t="n">
        <v>0</v>
      </c>
      <c r="M52" s="8" t="n">
        <v>0</v>
      </c>
      <c r="N52" s="9" t="n">
        <v>0</v>
      </c>
      <c r="O52" s="8" t="n">
        <v>0</v>
      </c>
      <c r="P52" s="9" t="n">
        <v>1</v>
      </c>
      <c r="Q52" s="8" t="n">
        <v>10352.04</v>
      </c>
      <c r="R52" s="9" t="n">
        <v>0</v>
      </c>
      <c r="S52" s="8" t="n">
        <v>0</v>
      </c>
      <c r="T52" s="9">
        <f>H52+J52+L52+N52+P52+R52</f>
        <v/>
      </c>
    </row>
    <row r="53">
      <c r="A53" s="4" t="inlineStr">
        <is>
          <t>2.1.5.3</t>
        </is>
      </c>
      <c r="B53" s="13" t="inlineStr">
        <is>
          <t>Rejunte Flexível p/ Porcelanato Junta 2mm</t>
        </is>
      </c>
      <c r="C53" s="4" t="inlineStr">
        <is>
          <t>Arquitetura</t>
        </is>
      </c>
      <c r="D53" s="14" t="n">
        <v>92.09999999999999</v>
      </c>
      <c r="E53" s="4" t="inlineStr">
        <is>
          <t>kg</t>
        </is>
      </c>
      <c r="F53" s="5" t="n">
        <v>5.37</v>
      </c>
      <c r="G53" s="5" t="n">
        <v>494.58</v>
      </c>
      <c r="H53" s="6" t="n">
        <v>0</v>
      </c>
      <c r="I53" s="5" t="n">
        <v>0</v>
      </c>
      <c r="J53" s="6" t="n">
        <v>0</v>
      </c>
      <c r="K53" s="5" t="n">
        <v>0</v>
      </c>
      <c r="L53" s="6" t="n">
        <v>0</v>
      </c>
      <c r="M53" s="5" t="n">
        <v>0</v>
      </c>
      <c r="N53" s="6" t="n">
        <v>0</v>
      </c>
      <c r="O53" s="5" t="n">
        <v>0</v>
      </c>
      <c r="P53" s="6" t="n">
        <v>1</v>
      </c>
      <c r="Q53" s="5" t="n">
        <v>494.58</v>
      </c>
      <c r="R53" s="6" t="n">
        <v>0</v>
      </c>
      <c r="S53" s="5" t="n">
        <v>0</v>
      </c>
      <c r="T53" s="6">
        <f>H53+J53+L53+N53+P53+R53</f>
        <v/>
      </c>
    </row>
    <row r="54">
      <c r="A54" s="7" t="inlineStr">
        <is>
          <t>2.1.5.4</t>
        </is>
      </c>
      <c r="B54" s="15" t="inlineStr">
        <is>
          <t>Clips Niveladores Plásticos p/ Porcelanato 60x60cm</t>
        </is>
      </c>
      <c r="C54" s="7" t="inlineStr">
        <is>
          <t>Arquitetura</t>
        </is>
      </c>
      <c r="D54" s="16" t="n">
        <v>4096</v>
      </c>
      <c r="E54" s="7" t="inlineStr">
        <is>
          <t>unid</t>
        </is>
      </c>
      <c r="F54" s="8" t="n">
        <v>0.45</v>
      </c>
      <c r="G54" s="8" t="n">
        <v>1843.2</v>
      </c>
      <c r="H54" s="9" t="n">
        <v>0</v>
      </c>
      <c r="I54" s="8" t="n">
        <v>0</v>
      </c>
      <c r="J54" s="9" t="n">
        <v>0</v>
      </c>
      <c r="K54" s="8" t="n">
        <v>0</v>
      </c>
      <c r="L54" s="9" t="n">
        <v>0</v>
      </c>
      <c r="M54" s="8" t="n">
        <v>0</v>
      </c>
      <c r="N54" s="9" t="n">
        <v>0</v>
      </c>
      <c r="O54" s="8" t="n">
        <v>0</v>
      </c>
      <c r="P54" s="9" t="n">
        <v>1</v>
      </c>
      <c r="Q54" s="8" t="n">
        <v>1843.2</v>
      </c>
      <c r="R54" s="9" t="n">
        <v>0</v>
      </c>
      <c r="S54" s="8" t="n">
        <v>0</v>
      </c>
      <c r="T54" s="9">
        <f>H54+J54+L54+N54+P54+R54</f>
        <v/>
      </c>
    </row>
    <row r="55">
      <c r="A55" s="4" t="inlineStr">
        <is>
          <t>2.1.5.5</t>
        </is>
      </c>
      <c r="B55" s="13" t="inlineStr">
        <is>
          <t>Cunhas Niveladoras Plásticas Reutilizáveis (Giro 30%)</t>
        </is>
      </c>
      <c r="C55" s="4" t="inlineStr">
        <is>
          <t>Arquitetura</t>
        </is>
      </c>
      <c r="D55" s="14" t="n">
        <v>1229</v>
      </c>
      <c r="E55" s="4" t="inlineStr">
        <is>
          <t>unid</t>
        </is>
      </c>
      <c r="F55" s="5" t="n">
        <v>1.08</v>
      </c>
      <c r="G55" s="5" t="n">
        <v>1327.32</v>
      </c>
      <c r="H55" s="6" t="n">
        <v>0</v>
      </c>
      <c r="I55" s="5" t="n">
        <v>0</v>
      </c>
      <c r="J55" s="6" t="n">
        <v>0</v>
      </c>
      <c r="K55" s="5" t="n">
        <v>0</v>
      </c>
      <c r="L55" s="6" t="n">
        <v>0</v>
      </c>
      <c r="M55" s="5" t="n">
        <v>0</v>
      </c>
      <c r="N55" s="6" t="n">
        <v>0</v>
      </c>
      <c r="O55" s="5" t="n">
        <v>0</v>
      </c>
      <c r="P55" s="6" t="n">
        <v>1</v>
      </c>
      <c r="Q55" s="5" t="n">
        <v>1327.32</v>
      </c>
      <c r="R55" s="6" t="n">
        <v>0</v>
      </c>
      <c r="S55" s="5" t="n">
        <v>0</v>
      </c>
      <c r="T55" s="6">
        <f>H55+J55+L55+N55+P55+R55</f>
        <v/>
      </c>
    </row>
    <row r="56">
      <c r="A56" s="7" t="inlineStr">
        <is>
          <t>2.1.5.6</t>
        </is>
      </c>
      <c r="B56" s="15" t="inlineStr">
        <is>
          <t>Lona Plástica Preta p/ Proteção de Pisos Assentados</t>
        </is>
      </c>
      <c r="C56" s="7" t="inlineStr">
        <is>
          <t>Arquitetura</t>
        </is>
      </c>
      <c r="D56" s="16" t="n">
        <v>368.4</v>
      </c>
      <c r="E56" s="7" t="inlineStr">
        <is>
          <t>m²</t>
        </is>
      </c>
      <c r="F56" s="8" t="n">
        <v>2.84</v>
      </c>
      <c r="G56" s="8" t="n">
        <v>1046.26</v>
      </c>
      <c r="H56" s="9" t="n">
        <v>0</v>
      </c>
      <c r="I56" s="8" t="n">
        <v>0</v>
      </c>
      <c r="J56" s="9" t="n">
        <v>0</v>
      </c>
      <c r="K56" s="8" t="n">
        <v>0</v>
      </c>
      <c r="L56" s="9" t="n">
        <v>0</v>
      </c>
      <c r="M56" s="8" t="n">
        <v>0</v>
      </c>
      <c r="N56" s="9" t="n">
        <v>0</v>
      </c>
      <c r="O56" s="8" t="n">
        <v>0</v>
      </c>
      <c r="P56" s="9" t="n">
        <v>1</v>
      </c>
      <c r="Q56" s="8" t="n">
        <v>1046.26</v>
      </c>
      <c r="R56" s="9" t="n">
        <v>0</v>
      </c>
      <c r="S56" s="8" t="n">
        <v>0</v>
      </c>
      <c r="T56" s="9">
        <f>H56+J56+L56+N56+P56+R56</f>
        <v/>
      </c>
    </row>
    <row r="57">
      <c r="A57" s="4" t="inlineStr">
        <is>
          <t>2.1.6.1</t>
        </is>
      </c>
      <c r="B57" s="13" t="inlineStr">
        <is>
          <t>Revestimento Cerâmico h=1,80m nos WCs (Eliane 45x45 Plus Gray)</t>
        </is>
      </c>
      <c r="C57" s="4" t="inlineStr">
        <is>
          <t>Arquitetura</t>
        </is>
      </c>
      <c r="D57" s="14" t="n">
        <v>84.2</v>
      </c>
      <c r="E57" s="4" t="inlineStr">
        <is>
          <t>m²</t>
        </is>
      </c>
      <c r="F57" s="5" t="n">
        <v>121.32</v>
      </c>
      <c r="G57" s="5" t="n">
        <v>10215.14</v>
      </c>
      <c r="H57" s="6" t="n">
        <v>0</v>
      </c>
      <c r="I57" s="5" t="n">
        <v>0</v>
      </c>
      <c r="J57" s="6" t="n">
        <v>0</v>
      </c>
      <c r="K57" s="5" t="n">
        <v>0</v>
      </c>
      <c r="L57" s="6" t="n">
        <v>0</v>
      </c>
      <c r="M57" s="5" t="n">
        <v>0</v>
      </c>
      <c r="N57" s="6" t="n">
        <v>0</v>
      </c>
      <c r="O57" s="5" t="n">
        <v>0</v>
      </c>
      <c r="P57" s="6" t="n">
        <v>1</v>
      </c>
      <c r="Q57" s="5" t="n">
        <v>10215.14</v>
      </c>
      <c r="R57" s="6" t="n">
        <v>0</v>
      </c>
      <c r="S57" s="5" t="n">
        <v>0</v>
      </c>
      <c r="T57" s="6">
        <f>H57+J57+L57+N57+P57+R57</f>
        <v/>
      </c>
    </row>
    <row r="58">
      <c r="A58" s="7" t="inlineStr">
        <is>
          <t>2.1.6.2</t>
        </is>
      </c>
      <c r="B58" s="15" t="inlineStr">
        <is>
          <t>Argamassa Colante AC-II p/ Cerâmica Parede</t>
        </is>
      </c>
      <c r="C58" s="7" t="inlineStr">
        <is>
          <t>Arquitetura</t>
        </is>
      </c>
      <c r="D58" s="16" t="n">
        <v>421</v>
      </c>
      <c r="E58" s="7" t="inlineStr">
        <is>
          <t>kg</t>
        </is>
      </c>
      <c r="F58" s="8" t="n">
        <v>1.7</v>
      </c>
      <c r="G58" s="8" t="n">
        <v>715.7</v>
      </c>
      <c r="H58" s="9" t="n">
        <v>0</v>
      </c>
      <c r="I58" s="8" t="n">
        <v>0</v>
      </c>
      <c r="J58" s="9" t="n">
        <v>0</v>
      </c>
      <c r="K58" s="8" t="n">
        <v>0</v>
      </c>
      <c r="L58" s="9" t="n">
        <v>0</v>
      </c>
      <c r="M58" s="8" t="n">
        <v>0</v>
      </c>
      <c r="N58" s="9" t="n">
        <v>0</v>
      </c>
      <c r="O58" s="8" t="n">
        <v>0</v>
      </c>
      <c r="P58" s="9" t="n">
        <v>1</v>
      </c>
      <c r="Q58" s="8" t="n">
        <v>715.7</v>
      </c>
      <c r="R58" s="9" t="n">
        <v>0</v>
      </c>
      <c r="S58" s="8" t="n">
        <v>0</v>
      </c>
      <c r="T58" s="9">
        <f>H58+J58+L58+N58+P58+R58</f>
        <v/>
      </c>
    </row>
    <row r="59">
      <c r="A59" s="4" t="inlineStr">
        <is>
          <t>2.1.6.3</t>
        </is>
      </c>
      <c r="B59" s="13" t="inlineStr">
        <is>
          <t>Rejunte Cerâmico Antimofo Junta 3mm</t>
        </is>
      </c>
      <c r="C59" s="4" t="inlineStr">
        <is>
          <t>Arquitetura</t>
        </is>
      </c>
      <c r="D59" s="14" t="n">
        <v>25.3</v>
      </c>
      <c r="E59" s="4" t="inlineStr">
        <is>
          <t>kg</t>
        </is>
      </c>
      <c r="F59" s="5" t="n">
        <v>5.37</v>
      </c>
      <c r="G59" s="5" t="n">
        <v>135.86</v>
      </c>
      <c r="H59" s="6" t="n">
        <v>0</v>
      </c>
      <c r="I59" s="5" t="n">
        <v>0</v>
      </c>
      <c r="J59" s="6" t="n">
        <v>0</v>
      </c>
      <c r="K59" s="5" t="n">
        <v>0</v>
      </c>
      <c r="L59" s="6" t="n">
        <v>0</v>
      </c>
      <c r="M59" s="5" t="n">
        <v>0</v>
      </c>
      <c r="N59" s="6" t="n">
        <v>0</v>
      </c>
      <c r="O59" s="5" t="n">
        <v>0</v>
      </c>
      <c r="P59" s="6" t="n">
        <v>1</v>
      </c>
      <c r="Q59" s="5" t="n">
        <v>135.86</v>
      </c>
      <c r="R59" s="6" t="n">
        <v>0</v>
      </c>
      <c r="S59" s="5" t="n">
        <v>0</v>
      </c>
      <c r="T59" s="6">
        <f>H59+J59+L59+N59+P59+R59</f>
        <v/>
      </c>
    </row>
    <row r="60">
      <c r="A60" s="7" t="inlineStr">
        <is>
          <t>2.1.6.4</t>
        </is>
      </c>
      <c r="B60" s="15" t="inlineStr">
        <is>
          <t>Espaçadores / Cruzetas Plásticas 2mm e 3mm</t>
        </is>
      </c>
      <c r="C60" s="7" t="inlineStr">
        <is>
          <t>Arquitetura</t>
        </is>
      </c>
      <c r="D60" s="16" t="n">
        <v>2715</v>
      </c>
      <c r="E60" s="7" t="inlineStr">
        <is>
          <t>unid</t>
        </is>
      </c>
      <c r="F60" s="8" t="n">
        <v>0.19</v>
      </c>
      <c r="G60" s="8" t="n">
        <v>515.85</v>
      </c>
      <c r="H60" s="9" t="n">
        <v>0</v>
      </c>
      <c r="I60" s="8" t="n">
        <v>0</v>
      </c>
      <c r="J60" s="9" t="n">
        <v>0</v>
      </c>
      <c r="K60" s="8" t="n">
        <v>0</v>
      </c>
      <c r="L60" s="9" t="n">
        <v>0</v>
      </c>
      <c r="M60" s="8" t="n">
        <v>0</v>
      </c>
      <c r="N60" s="9" t="n">
        <v>0</v>
      </c>
      <c r="O60" s="8" t="n">
        <v>0</v>
      </c>
      <c r="P60" s="9" t="n">
        <v>1</v>
      </c>
      <c r="Q60" s="8" t="n">
        <v>515.85</v>
      </c>
      <c r="R60" s="9" t="n">
        <v>0</v>
      </c>
      <c r="S60" s="8" t="n">
        <v>0</v>
      </c>
      <c r="T60" s="9">
        <f>H60+J60+L60+N60+P60+R60</f>
        <v/>
      </c>
    </row>
    <row r="61">
      <c r="A61" s="4" t="inlineStr">
        <is>
          <t>2.1.7</t>
        </is>
      </c>
      <c r="B61" s="13" t="inlineStr">
        <is>
          <t>Rodapé Porcelanato h=10cm</t>
        </is>
      </c>
      <c r="C61" s="4" t="inlineStr">
        <is>
          <t>Arquitetura</t>
        </is>
      </c>
      <c r="D61" s="14" t="n">
        <v>384.2</v>
      </c>
      <c r="E61" s="4" t="inlineStr">
        <is>
          <t>m</t>
        </is>
      </c>
      <c r="F61" s="5" t="n">
        <v>36.24</v>
      </c>
      <c r="G61" s="5" t="n">
        <v>13923.41</v>
      </c>
      <c r="H61" s="6" t="n">
        <v>0</v>
      </c>
      <c r="I61" s="5" t="n">
        <v>0</v>
      </c>
      <c r="J61" s="6" t="n">
        <v>0</v>
      </c>
      <c r="K61" s="5" t="n">
        <v>0</v>
      </c>
      <c r="L61" s="6" t="n">
        <v>0</v>
      </c>
      <c r="M61" s="5" t="n">
        <v>0</v>
      </c>
      <c r="N61" s="6" t="n">
        <v>0</v>
      </c>
      <c r="O61" s="5" t="n">
        <v>0</v>
      </c>
      <c r="P61" s="6" t="n">
        <v>1</v>
      </c>
      <c r="Q61" s="5" t="n">
        <v>13923.41</v>
      </c>
      <c r="R61" s="6" t="n">
        <v>0</v>
      </c>
      <c r="S61" s="5" t="n">
        <v>0</v>
      </c>
      <c r="T61" s="6">
        <f>H61+J61+L61+N61+P61+R61</f>
        <v/>
      </c>
    </row>
    <row r="62">
      <c r="A62" s="7" t="inlineStr">
        <is>
          <t>2.1.8.1</t>
        </is>
      </c>
      <c r="B62" s="15" t="inlineStr">
        <is>
          <t>Pintura Látex Acrílica 3 Demãos (Paredes + Tetos)</t>
        </is>
      </c>
      <c r="C62" s="7" t="inlineStr">
        <is>
          <t>Arquitetura</t>
        </is>
      </c>
      <c r="D62" s="16" t="n">
        <v>2491.28</v>
      </c>
      <c r="E62" s="7" t="inlineStr">
        <is>
          <t>m²</t>
        </is>
      </c>
      <c r="F62" s="8" t="n">
        <v>19.65</v>
      </c>
      <c r="G62" s="8" t="n">
        <v>48953.65</v>
      </c>
      <c r="H62" s="9" t="n">
        <v>0</v>
      </c>
      <c r="I62" s="8" t="n">
        <v>0</v>
      </c>
      <c r="J62" s="9" t="n">
        <v>0</v>
      </c>
      <c r="K62" s="8" t="n">
        <v>0</v>
      </c>
      <c r="L62" s="9" t="n">
        <v>0</v>
      </c>
      <c r="M62" s="8" t="n">
        <v>0</v>
      </c>
      <c r="N62" s="9" t="n">
        <v>0</v>
      </c>
      <c r="O62" s="8" t="n">
        <v>0</v>
      </c>
      <c r="P62" s="9" t="n">
        <v>0</v>
      </c>
      <c r="Q62" s="8" t="n">
        <v>0</v>
      </c>
      <c r="R62" s="9" t="n">
        <v>1</v>
      </c>
      <c r="S62" s="8" t="n">
        <v>48953.65</v>
      </c>
      <c r="T62" s="9">
        <f>H62+J62+L62+N62+P62+R62</f>
        <v/>
      </c>
    </row>
    <row r="63">
      <c r="A63" s="4" t="inlineStr">
        <is>
          <t>2.1.8.2</t>
        </is>
      </c>
      <c r="B63" s="13" t="inlineStr">
        <is>
          <t>Selador Acrílico Base Água p/ Reboco Novo</t>
        </is>
      </c>
      <c r="C63" s="4" t="inlineStr">
        <is>
          <t>Arquitetura</t>
        </is>
      </c>
      <c r="D63" s="14" t="n">
        <v>212.3</v>
      </c>
      <c r="E63" s="4" t="inlineStr">
        <is>
          <t>L</t>
        </is>
      </c>
      <c r="F63" s="5" t="n">
        <v>14.42</v>
      </c>
      <c r="G63" s="5" t="n">
        <v>3061.37</v>
      </c>
      <c r="H63" s="6" t="n">
        <v>0</v>
      </c>
      <c r="I63" s="5" t="n">
        <v>0</v>
      </c>
      <c r="J63" s="6" t="n">
        <v>0</v>
      </c>
      <c r="K63" s="5" t="n">
        <v>0</v>
      </c>
      <c r="L63" s="6" t="n">
        <v>0</v>
      </c>
      <c r="M63" s="5" t="n">
        <v>0</v>
      </c>
      <c r="N63" s="6" t="n">
        <v>0</v>
      </c>
      <c r="O63" s="5" t="n">
        <v>0</v>
      </c>
      <c r="P63" s="6" t="n">
        <v>0.5</v>
      </c>
      <c r="Q63" s="5" t="n">
        <v>1530.68</v>
      </c>
      <c r="R63" s="6" t="n">
        <v>0.5</v>
      </c>
      <c r="S63" s="5" t="n">
        <v>1530.69</v>
      </c>
      <c r="T63" s="6">
        <f>H63+J63+L63+N63+P63+R63</f>
        <v/>
      </c>
    </row>
    <row r="64">
      <c r="A64" s="7" t="inlineStr">
        <is>
          <t>2.1.8.3</t>
        </is>
      </c>
      <c r="B64" s="15" t="inlineStr">
        <is>
          <t>Lixa Grossa p/ Reboco (Grão 80/100)</t>
        </is>
      </c>
      <c r="C64" s="7" t="inlineStr">
        <is>
          <t>Arquitetura</t>
        </is>
      </c>
      <c r="D64" s="16" t="n">
        <v>106</v>
      </c>
      <c r="E64" s="7" t="inlineStr">
        <is>
          <t>unid</t>
        </is>
      </c>
      <c r="F64" s="8" t="n">
        <v>5.12</v>
      </c>
      <c r="G64" s="8" t="n">
        <v>542.72</v>
      </c>
      <c r="H64" s="9" t="n">
        <v>0</v>
      </c>
      <c r="I64" s="8" t="n">
        <v>0</v>
      </c>
      <c r="J64" s="9" t="n">
        <v>0</v>
      </c>
      <c r="K64" s="8" t="n">
        <v>0</v>
      </c>
      <c r="L64" s="9" t="n">
        <v>0</v>
      </c>
      <c r="M64" s="8" t="n">
        <v>0</v>
      </c>
      <c r="N64" s="9" t="n">
        <v>0</v>
      </c>
      <c r="O64" s="8" t="n">
        <v>0</v>
      </c>
      <c r="P64" s="9" t="n">
        <v>0.5</v>
      </c>
      <c r="Q64" s="8" t="n">
        <v>271.36</v>
      </c>
      <c r="R64" s="9" t="n">
        <v>0.5</v>
      </c>
      <c r="S64" s="8" t="n">
        <v>271.36</v>
      </c>
      <c r="T64" s="9">
        <f>H64+J64+L64+N64+P64+R64</f>
        <v/>
      </c>
    </row>
    <row r="65">
      <c r="A65" s="4" t="inlineStr">
        <is>
          <t>2.1.8.4</t>
        </is>
      </c>
      <c r="B65" s="13" t="inlineStr">
        <is>
          <t>Lixa Fina p/ Massa/Gesso (Grão 150/220)</t>
        </is>
      </c>
      <c r="C65" s="4" t="inlineStr">
        <is>
          <t>Arquitetura</t>
        </is>
      </c>
      <c r="D65" s="14" t="n">
        <v>249</v>
      </c>
      <c r="E65" s="4" t="inlineStr">
        <is>
          <t>unid</t>
        </is>
      </c>
      <c r="F65" s="5" t="n">
        <v>63.59</v>
      </c>
      <c r="G65" s="5" t="n">
        <v>15833.91</v>
      </c>
      <c r="H65" s="6" t="n">
        <v>0</v>
      </c>
      <c r="I65" s="5" t="n">
        <v>0</v>
      </c>
      <c r="J65" s="6" t="n">
        <v>0</v>
      </c>
      <c r="K65" s="5" t="n">
        <v>0</v>
      </c>
      <c r="L65" s="6" t="n">
        <v>0</v>
      </c>
      <c r="M65" s="5" t="n">
        <v>0</v>
      </c>
      <c r="N65" s="6" t="n">
        <v>0</v>
      </c>
      <c r="O65" s="5" t="n">
        <v>0</v>
      </c>
      <c r="P65" s="6" t="n">
        <v>0</v>
      </c>
      <c r="Q65" s="5" t="n">
        <v>0</v>
      </c>
      <c r="R65" s="6" t="n">
        <v>1</v>
      </c>
      <c r="S65" s="5" t="n">
        <v>15833.91</v>
      </c>
      <c r="T65" s="6">
        <f>H65+J65+L65+N65+P65+R65</f>
        <v/>
      </c>
    </row>
    <row r="66">
      <c r="A66" s="7" t="inlineStr">
        <is>
          <t>2.1.8.5</t>
        </is>
      </c>
      <c r="B66" s="15" t="inlineStr">
        <is>
          <t>Fita Crepe 24mm x 50m p/ Pintura e Proteções</t>
        </is>
      </c>
      <c r="C66" s="7" t="inlineStr">
        <is>
          <t>Arquitetura</t>
        </is>
      </c>
      <c r="D66" s="16" t="n">
        <v>604</v>
      </c>
      <c r="E66" s="7" t="inlineStr">
        <is>
          <t>m</t>
        </is>
      </c>
      <c r="F66" s="8" t="n">
        <v>0.57</v>
      </c>
      <c r="G66" s="8" t="n">
        <v>344.28</v>
      </c>
      <c r="H66" s="9" t="n">
        <v>0</v>
      </c>
      <c r="I66" s="8" t="n">
        <v>0</v>
      </c>
      <c r="J66" s="9" t="n">
        <v>0</v>
      </c>
      <c r="K66" s="8" t="n">
        <v>0</v>
      </c>
      <c r="L66" s="9" t="n">
        <v>0</v>
      </c>
      <c r="M66" s="8" t="n">
        <v>0</v>
      </c>
      <c r="N66" s="9" t="n">
        <v>0</v>
      </c>
      <c r="O66" s="8" t="n">
        <v>0</v>
      </c>
      <c r="P66" s="9" t="n">
        <v>0</v>
      </c>
      <c r="Q66" s="8" t="n">
        <v>0</v>
      </c>
      <c r="R66" s="9" t="n">
        <v>1</v>
      </c>
      <c r="S66" s="8" t="n">
        <v>344.28</v>
      </c>
      <c r="T66" s="9">
        <f>H66+J66+L66+N66+P66+R66</f>
        <v/>
      </c>
    </row>
    <row r="67">
      <c r="A67" s="4" t="inlineStr">
        <is>
          <t>2.1.9.1</t>
        </is>
      </c>
      <c r="B67" s="13" t="inlineStr">
        <is>
          <t>Esquadrias de Madeira/Alumínio (Portas P1-P5)</t>
        </is>
      </c>
      <c r="C67" s="4" t="inlineStr">
        <is>
          <t>Arquitetura</t>
        </is>
      </c>
      <c r="D67" s="14" t="n">
        <v>24</v>
      </c>
      <c r="E67" s="4" t="inlineStr">
        <is>
          <t>unid</t>
        </is>
      </c>
      <c r="F67" s="5" t="n">
        <v>1749.8</v>
      </c>
      <c r="G67" s="5" t="n">
        <v>41995.2</v>
      </c>
      <c r="H67" s="6" t="n">
        <v>0</v>
      </c>
      <c r="I67" s="5" t="n">
        <v>0</v>
      </c>
      <c r="J67" s="6" t="n">
        <v>0</v>
      </c>
      <c r="K67" s="5" t="n">
        <v>0</v>
      </c>
      <c r="L67" s="6" t="n">
        <v>0</v>
      </c>
      <c r="M67" s="5" t="n">
        <v>0</v>
      </c>
      <c r="N67" s="6" t="n">
        <v>0</v>
      </c>
      <c r="O67" s="5" t="n">
        <v>0</v>
      </c>
      <c r="P67" s="6" t="n">
        <v>1</v>
      </c>
      <c r="Q67" s="5" t="n">
        <v>41995.2</v>
      </c>
      <c r="R67" s="6" t="n">
        <v>0</v>
      </c>
      <c r="S67" s="5" t="n">
        <v>0</v>
      </c>
      <c r="T67" s="6">
        <f>H67+J67+L67+N67+P67+R67</f>
        <v/>
      </c>
    </row>
    <row r="68">
      <c r="A68" s="7" t="inlineStr">
        <is>
          <t>2.1.9.2</t>
        </is>
      </c>
      <c r="B68" s="15" t="inlineStr">
        <is>
          <t>Dobradiças 3 ½" x 3" em Aço Inox (3 un/folha)</t>
        </is>
      </c>
      <c r="C68" s="7" t="inlineStr">
        <is>
          <t>Arquitetura</t>
        </is>
      </c>
      <c r="D68" s="16" t="n">
        <v>78</v>
      </c>
      <c r="E68" s="7" t="inlineStr">
        <is>
          <t>unid</t>
        </is>
      </c>
      <c r="F68" s="8" t="n">
        <v>23.53</v>
      </c>
      <c r="G68" s="8" t="n">
        <v>1835.34</v>
      </c>
      <c r="H68" s="9" t="n">
        <v>0</v>
      </c>
      <c r="I68" s="8" t="n">
        <v>0</v>
      </c>
      <c r="J68" s="9" t="n">
        <v>0</v>
      </c>
      <c r="K68" s="8" t="n">
        <v>0</v>
      </c>
      <c r="L68" s="9" t="n">
        <v>0</v>
      </c>
      <c r="M68" s="8" t="n">
        <v>0</v>
      </c>
      <c r="N68" s="9" t="n">
        <v>0</v>
      </c>
      <c r="O68" s="8" t="n">
        <v>0</v>
      </c>
      <c r="P68" s="9" t="n">
        <v>1</v>
      </c>
      <c r="Q68" s="8" t="n">
        <v>1835.34</v>
      </c>
      <c r="R68" s="9" t="n">
        <v>0</v>
      </c>
      <c r="S68" s="8" t="n">
        <v>0</v>
      </c>
      <c r="T68" s="9">
        <f>H68+J68+L68+N68+P68+R68</f>
        <v/>
      </c>
    </row>
    <row r="69">
      <c r="A69" s="4" t="inlineStr">
        <is>
          <t>2.1.9.3</t>
        </is>
      </c>
      <c r="B69" s="13" t="inlineStr">
        <is>
          <t>Fechaduras Completas (Cilindro / Gorge / Tranqueta)</t>
        </is>
      </c>
      <c r="C69" s="4" t="inlineStr">
        <is>
          <t>Arquitetura</t>
        </is>
      </c>
      <c r="D69" s="14" t="n">
        <v>24</v>
      </c>
      <c r="E69" s="4" t="inlineStr">
        <is>
          <t>unid</t>
        </is>
      </c>
      <c r="F69" s="5" t="n">
        <v>82.66</v>
      </c>
      <c r="G69" s="5" t="n">
        <v>1983.84</v>
      </c>
      <c r="H69" s="6" t="n">
        <v>0</v>
      </c>
      <c r="I69" s="5" t="n">
        <v>0</v>
      </c>
      <c r="J69" s="6" t="n">
        <v>0</v>
      </c>
      <c r="K69" s="5" t="n">
        <v>0</v>
      </c>
      <c r="L69" s="6" t="n">
        <v>0</v>
      </c>
      <c r="M69" s="5" t="n">
        <v>0</v>
      </c>
      <c r="N69" s="6" t="n">
        <v>0</v>
      </c>
      <c r="O69" s="5" t="n">
        <v>0</v>
      </c>
      <c r="P69" s="6" t="n">
        <v>1</v>
      </c>
      <c r="Q69" s="5" t="n">
        <v>1983.84</v>
      </c>
      <c r="R69" s="6" t="n">
        <v>0</v>
      </c>
      <c r="S69" s="5" t="n">
        <v>0</v>
      </c>
      <c r="T69" s="6">
        <f>H69+J69+L69+N69+P69+R69</f>
        <v/>
      </c>
    </row>
    <row r="70">
      <c r="A70" s="7" t="inlineStr">
        <is>
          <t>2.1.9.4</t>
        </is>
      </c>
      <c r="B70" s="15" t="inlineStr">
        <is>
          <t>Batedores de Porta para Piso c/ Amortecedor Inox</t>
        </is>
      </c>
      <c r="C70" s="7" t="inlineStr">
        <is>
          <t>Arquitetura</t>
        </is>
      </c>
      <c r="D70" s="16" t="n">
        <v>26</v>
      </c>
      <c r="E70" s="7" t="inlineStr">
        <is>
          <t>unid</t>
        </is>
      </c>
      <c r="F70" s="8" t="n">
        <v>27.98</v>
      </c>
      <c r="G70" s="8" t="n">
        <v>727.48</v>
      </c>
      <c r="H70" s="9" t="n">
        <v>0</v>
      </c>
      <c r="I70" s="8" t="n">
        <v>0</v>
      </c>
      <c r="J70" s="9" t="n">
        <v>0</v>
      </c>
      <c r="K70" s="8" t="n">
        <v>0</v>
      </c>
      <c r="L70" s="9" t="n">
        <v>0</v>
      </c>
      <c r="M70" s="8" t="n">
        <v>0</v>
      </c>
      <c r="N70" s="9" t="n">
        <v>0</v>
      </c>
      <c r="O70" s="8" t="n">
        <v>0</v>
      </c>
      <c r="P70" s="9" t="n">
        <v>1</v>
      </c>
      <c r="Q70" s="8" t="n">
        <v>727.48</v>
      </c>
      <c r="R70" s="9" t="n">
        <v>0</v>
      </c>
      <c r="S70" s="8" t="n">
        <v>0</v>
      </c>
      <c r="T70" s="9">
        <f>H70+J70+L70+N70+P70+R70</f>
        <v/>
      </c>
    </row>
    <row r="71">
      <c r="A71" s="4" t="inlineStr">
        <is>
          <t>2.1.9.5</t>
        </is>
      </c>
      <c r="B71" s="13" t="inlineStr">
        <is>
          <t>Espuma de Poliuretano Expansiva 750ml p/ Marcos</t>
        </is>
      </c>
      <c r="C71" s="4" t="inlineStr">
        <is>
          <t>Arquitetura</t>
        </is>
      </c>
      <c r="D71" s="14" t="n">
        <v>9.6</v>
      </c>
      <c r="E71" s="4" t="inlineStr">
        <is>
          <t>unid</t>
        </is>
      </c>
      <c r="F71" s="5" t="n">
        <v>34.34</v>
      </c>
      <c r="G71" s="5" t="n">
        <v>329.66</v>
      </c>
      <c r="H71" s="6" t="n">
        <v>0</v>
      </c>
      <c r="I71" s="5" t="n">
        <v>0</v>
      </c>
      <c r="J71" s="6" t="n">
        <v>0</v>
      </c>
      <c r="K71" s="5" t="n">
        <v>0</v>
      </c>
      <c r="L71" s="6" t="n">
        <v>0</v>
      </c>
      <c r="M71" s="5" t="n">
        <v>0</v>
      </c>
      <c r="N71" s="6" t="n">
        <v>0</v>
      </c>
      <c r="O71" s="5" t="n">
        <v>0</v>
      </c>
      <c r="P71" s="6" t="n">
        <v>1</v>
      </c>
      <c r="Q71" s="5" t="n">
        <v>329.66</v>
      </c>
      <c r="R71" s="6" t="n">
        <v>0</v>
      </c>
      <c r="S71" s="5" t="n">
        <v>0</v>
      </c>
      <c r="T71" s="6">
        <f>H71+J71+L71+N71+P71+R71</f>
        <v/>
      </c>
    </row>
    <row r="72">
      <c r="A72" s="7" t="inlineStr">
        <is>
          <t>2.1.9.6</t>
        </is>
      </c>
      <c r="B72" s="15" t="inlineStr">
        <is>
          <t>Parafusos e Buchas Nylon S8 p/ Fixação Batentes</t>
        </is>
      </c>
      <c r="C72" s="7" t="inlineStr">
        <is>
          <t>Arquitetura</t>
        </is>
      </c>
      <c r="D72" s="16" t="n">
        <v>192</v>
      </c>
      <c r="E72" s="7" t="inlineStr">
        <is>
          <t>unid</t>
        </is>
      </c>
      <c r="F72" s="8" t="n">
        <v>0.57</v>
      </c>
      <c r="G72" s="8" t="n">
        <v>109.44</v>
      </c>
      <c r="H72" s="9" t="n">
        <v>0</v>
      </c>
      <c r="I72" s="8" t="n">
        <v>0</v>
      </c>
      <c r="J72" s="9" t="n">
        <v>0</v>
      </c>
      <c r="K72" s="8" t="n">
        <v>0</v>
      </c>
      <c r="L72" s="9" t="n">
        <v>0</v>
      </c>
      <c r="M72" s="8" t="n">
        <v>0</v>
      </c>
      <c r="N72" s="9" t="n">
        <v>0</v>
      </c>
      <c r="O72" s="8" t="n">
        <v>0</v>
      </c>
      <c r="P72" s="9" t="n">
        <v>1</v>
      </c>
      <c r="Q72" s="8" t="n">
        <v>109.44</v>
      </c>
      <c r="R72" s="9" t="n">
        <v>0</v>
      </c>
      <c r="S72" s="8" t="n">
        <v>0</v>
      </c>
      <c r="T72" s="9">
        <f>H72+J72+L72+N72+P72+R72</f>
        <v/>
      </c>
    </row>
    <row r="73">
      <c r="A73" s="4" t="inlineStr">
        <is>
          <t>2.1.9.7</t>
        </is>
      </c>
      <c r="B73" s="13" t="inlineStr">
        <is>
          <t>Pregos sem Cabeça 12x12 p/ Alizares/Guarnições</t>
        </is>
      </c>
      <c r="C73" s="4" t="inlineStr">
        <is>
          <t>Arquitetura</t>
        </is>
      </c>
      <c r="D73" s="14" t="n">
        <v>480</v>
      </c>
      <c r="E73" s="4" t="inlineStr">
        <is>
          <t>unid</t>
        </is>
      </c>
      <c r="F73" s="5" t="n">
        <v>0.1</v>
      </c>
      <c r="G73" s="5" t="n">
        <v>48</v>
      </c>
      <c r="H73" s="6" t="n">
        <v>0</v>
      </c>
      <c r="I73" s="5" t="n">
        <v>0</v>
      </c>
      <c r="J73" s="6" t="n">
        <v>0</v>
      </c>
      <c r="K73" s="5" t="n">
        <v>0</v>
      </c>
      <c r="L73" s="6" t="n">
        <v>0</v>
      </c>
      <c r="M73" s="5" t="n">
        <v>0</v>
      </c>
      <c r="N73" s="6" t="n">
        <v>0</v>
      </c>
      <c r="O73" s="5" t="n">
        <v>0</v>
      </c>
      <c r="P73" s="6" t="n">
        <v>1</v>
      </c>
      <c r="Q73" s="5" t="n">
        <v>48</v>
      </c>
      <c r="R73" s="6" t="n">
        <v>0</v>
      </c>
      <c r="S73" s="5" t="n">
        <v>0</v>
      </c>
      <c r="T73" s="6">
        <f>H73+J73+L73+N73+P73+R73</f>
        <v/>
      </c>
    </row>
    <row r="74">
      <c r="A74" s="7" t="inlineStr">
        <is>
          <t>2.1.9.8</t>
        </is>
      </c>
      <c r="B74" s="15" t="inlineStr">
        <is>
          <t>Cola Branca PVA Madeira D3 (frascos 500g)</t>
        </is>
      </c>
      <c r="C74" s="7" t="inlineStr">
        <is>
          <t>Arquitetura</t>
        </is>
      </c>
      <c r="D74" s="16" t="n">
        <v>3</v>
      </c>
      <c r="E74" s="7" t="inlineStr">
        <is>
          <t>unid</t>
        </is>
      </c>
      <c r="F74" s="8" t="n">
        <v>18.44</v>
      </c>
      <c r="G74" s="8" t="n">
        <v>55.32</v>
      </c>
      <c r="H74" s="9" t="n">
        <v>0</v>
      </c>
      <c r="I74" s="8" t="n">
        <v>0</v>
      </c>
      <c r="J74" s="9" t="n">
        <v>0</v>
      </c>
      <c r="K74" s="8" t="n">
        <v>0</v>
      </c>
      <c r="L74" s="9" t="n">
        <v>0</v>
      </c>
      <c r="M74" s="8" t="n">
        <v>0</v>
      </c>
      <c r="N74" s="9" t="n">
        <v>0</v>
      </c>
      <c r="O74" s="8" t="n">
        <v>0</v>
      </c>
      <c r="P74" s="9" t="n">
        <v>1</v>
      </c>
      <c r="Q74" s="8" t="n">
        <v>55.32</v>
      </c>
      <c r="R74" s="9" t="n">
        <v>0</v>
      </c>
      <c r="S74" s="8" t="n">
        <v>0</v>
      </c>
      <c r="T74" s="9">
        <f>H74+J74+L74+N74+P74+R74</f>
        <v/>
      </c>
    </row>
    <row r="75">
      <c r="A75" s="4" t="inlineStr">
        <is>
          <t>2.1.10.1</t>
        </is>
      </c>
      <c r="B75" s="13" t="inlineStr">
        <is>
          <t>Esquadrias de Alumínio Vidro (Janelas J1-J4)</t>
        </is>
      </c>
      <c r="C75" s="4" t="inlineStr">
        <is>
          <t>Arquitetura</t>
        </is>
      </c>
      <c r="D75" s="14" t="n">
        <v>18</v>
      </c>
      <c r="E75" s="4" t="inlineStr">
        <is>
          <t>unid</t>
        </is>
      </c>
      <c r="F75" s="5" t="n">
        <v>467.79</v>
      </c>
      <c r="G75" s="5" t="n">
        <v>8420.219999999999</v>
      </c>
      <c r="H75" s="6" t="n">
        <v>0</v>
      </c>
      <c r="I75" s="5" t="n">
        <v>0</v>
      </c>
      <c r="J75" s="6" t="n">
        <v>0</v>
      </c>
      <c r="K75" s="5" t="n">
        <v>0</v>
      </c>
      <c r="L75" s="6" t="n">
        <v>0</v>
      </c>
      <c r="M75" s="5" t="n">
        <v>0</v>
      </c>
      <c r="N75" s="6" t="n">
        <v>0</v>
      </c>
      <c r="O75" s="5" t="n">
        <v>0</v>
      </c>
      <c r="P75" s="6" t="n">
        <v>1</v>
      </c>
      <c r="Q75" s="5" t="n">
        <v>8420.219999999999</v>
      </c>
      <c r="R75" s="6" t="n">
        <v>0</v>
      </c>
      <c r="S75" s="5" t="n">
        <v>0</v>
      </c>
      <c r="T75" s="6">
        <f>H75+J75+L75+N75+P75+R75</f>
        <v/>
      </c>
    </row>
    <row r="76">
      <c r="A76" s="7" t="inlineStr">
        <is>
          <t>2.1.10.2</t>
        </is>
      </c>
      <c r="B76" s="15" t="inlineStr">
        <is>
          <t>Selante PU 40 / Silicone Neutro 310ml p/ Caixilhos</t>
        </is>
      </c>
      <c r="C76" s="7" t="inlineStr">
        <is>
          <t>Arquitetura</t>
        </is>
      </c>
      <c r="D76" s="16" t="n">
        <v>124.7</v>
      </c>
      <c r="E76" s="7" t="inlineStr">
        <is>
          <t>m</t>
        </is>
      </c>
      <c r="F76" s="8" t="n">
        <v>36.24</v>
      </c>
      <c r="G76" s="8" t="n">
        <v>4519.13</v>
      </c>
      <c r="H76" s="9" t="n">
        <v>0</v>
      </c>
      <c r="I76" s="8" t="n">
        <v>0</v>
      </c>
      <c r="J76" s="9" t="n">
        <v>0</v>
      </c>
      <c r="K76" s="8" t="n">
        <v>0</v>
      </c>
      <c r="L76" s="9" t="n">
        <v>0</v>
      </c>
      <c r="M76" s="8" t="n">
        <v>0</v>
      </c>
      <c r="N76" s="9" t="n">
        <v>0</v>
      </c>
      <c r="O76" s="8" t="n">
        <v>0</v>
      </c>
      <c r="P76" s="9" t="n">
        <v>1</v>
      </c>
      <c r="Q76" s="8" t="n">
        <v>4519.13</v>
      </c>
      <c r="R76" s="9" t="n">
        <v>0</v>
      </c>
      <c r="S76" s="8" t="n">
        <v>0</v>
      </c>
      <c r="T76" s="9">
        <f>H76+J76+L76+N76+P76+R76</f>
        <v/>
      </c>
    </row>
    <row r="77">
      <c r="A77" s="4" t="inlineStr">
        <is>
          <t>2.1.11.1</t>
        </is>
      </c>
      <c r="B77" s="13" t="inlineStr">
        <is>
          <t>Impermeabilização Polimérica Sanitários/Copa</t>
        </is>
      </c>
      <c r="C77" s="4" t="inlineStr">
        <is>
          <t>Arquitetura</t>
        </is>
      </c>
      <c r="D77" s="14" t="n">
        <v>84.2</v>
      </c>
      <c r="E77" s="4" t="inlineStr">
        <is>
          <t>m²</t>
        </is>
      </c>
      <c r="F77" s="5" t="n">
        <v>66.64</v>
      </c>
      <c r="G77" s="5" t="n">
        <v>5611.09</v>
      </c>
      <c r="H77" s="6" t="n">
        <v>0</v>
      </c>
      <c r="I77" s="5" t="n">
        <v>0</v>
      </c>
      <c r="J77" s="6" t="n">
        <v>0</v>
      </c>
      <c r="K77" s="5" t="n">
        <v>0</v>
      </c>
      <c r="L77" s="6" t="n">
        <v>0</v>
      </c>
      <c r="M77" s="5" t="n">
        <v>0</v>
      </c>
      <c r="N77" s="6" t="n">
        <v>1</v>
      </c>
      <c r="O77" s="5" t="n">
        <v>5611.09</v>
      </c>
      <c r="P77" s="6" t="n">
        <v>0</v>
      </c>
      <c r="Q77" s="5" t="n">
        <v>0</v>
      </c>
      <c r="R77" s="6" t="n">
        <v>0</v>
      </c>
      <c r="S77" s="5" t="n">
        <v>0</v>
      </c>
      <c r="T77" s="6">
        <f>H77+J77+L77+N77+P77+R77</f>
        <v/>
      </c>
    </row>
    <row r="78">
      <c r="A78" s="7" t="inlineStr">
        <is>
          <t>2.1.11.2</t>
        </is>
      </c>
      <c r="B78" s="15" t="inlineStr">
        <is>
          <t>Tela de Poliéster / Véu de Reforço Impermeabilização</t>
        </is>
      </c>
      <c r="C78" s="7" t="inlineStr">
        <is>
          <t>Arquitetura</t>
        </is>
      </c>
      <c r="D78" s="16" t="n">
        <v>92.59999999999999</v>
      </c>
      <c r="E78" s="7" t="inlineStr">
        <is>
          <t>m²</t>
        </is>
      </c>
      <c r="F78" s="8" t="n">
        <v>5.34</v>
      </c>
      <c r="G78" s="8" t="n">
        <v>494.48</v>
      </c>
      <c r="H78" s="9" t="n">
        <v>0</v>
      </c>
      <c r="I78" s="8" t="n">
        <v>0</v>
      </c>
      <c r="J78" s="9" t="n">
        <v>0</v>
      </c>
      <c r="K78" s="8" t="n">
        <v>0</v>
      </c>
      <c r="L78" s="9" t="n">
        <v>0</v>
      </c>
      <c r="M78" s="8" t="n">
        <v>0</v>
      </c>
      <c r="N78" s="9" t="n">
        <v>1</v>
      </c>
      <c r="O78" s="8" t="n">
        <v>494.48</v>
      </c>
      <c r="P78" s="9" t="n">
        <v>0</v>
      </c>
      <c r="Q78" s="8" t="n">
        <v>0</v>
      </c>
      <c r="R78" s="9" t="n">
        <v>0</v>
      </c>
      <c r="S78" s="8" t="n">
        <v>0</v>
      </c>
      <c r="T78" s="9">
        <f>H78+J78+L78+N78+P78+R78</f>
        <v/>
      </c>
    </row>
    <row r="79">
      <c r="A79" s="4" t="inlineStr">
        <is>
          <t>2.2.1.1</t>
        </is>
      </c>
      <c r="B79" s="13" t="inlineStr">
        <is>
          <t>Telha Termoacústica Trapezoidal (Sandwich 30mm EPS)</t>
        </is>
      </c>
      <c r="C79" s="4" t="inlineStr">
        <is>
          <t>Cobertura</t>
        </is>
      </c>
      <c r="D79" s="14" t="n">
        <v>381.29</v>
      </c>
      <c r="E79" s="4" t="inlineStr">
        <is>
          <t>m²</t>
        </is>
      </c>
      <c r="F79" s="5" t="n">
        <v>286.91</v>
      </c>
      <c r="G79" s="5" t="n">
        <v>109395.91</v>
      </c>
      <c r="H79" s="6" t="n">
        <v>0</v>
      </c>
      <c r="I79" s="5" t="n">
        <v>0</v>
      </c>
      <c r="J79" s="6" t="n">
        <v>0</v>
      </c>
      <c r="K79" s="5" t="n">
        <v>0</v>
      </c>
      <c r="L79" s="6" t="n">
        <v>1</v>
      </c>
      <c r="M79" s="5" t="n">
        <v>109395.91</v>
      </c>
      <c r="N79" s="6" t="n">
        <v>0</v>
      </c>
      <c r="O79" s="5" t="n">
        <v>0</v>
      </c>
      <c r="P79" s="6" t="n">
        <v>0</v>
      </c>
      <c r="Q79" s="5" t="n">
        <v>0</v>
      </c>
      <c r="R79" s="6" t="n">
        <v>0</v>
      </c>
      <c r="S79" s="5" t="n">
        <v>0</v>
      </c>
      <c r="T79" s="6">
        <f>H79+J79+L79+N79+P79+R79</f>
        <v/>
      </c>
    </row>
    <row r="80">
      <c r="A80" s="7" t="inlineStr">
        <is>
          <t>2.2.1.2</t>
        </is>
      </c>
      <c r="B80" s="15" t="inlineStr">
        <is>
          <t>Parafusos Autobrocantes 12x1" c/ Arruela EPDM</t>
        </is>
      </c>
      <c r="C80" s="7" t="inlineStr">
        <is>
          <t>Cobertura</t>
        </is>
      </c>
      <c r="D80" s="16" t="n">
        <v>1716</v>
      </c>
      <c r="E80" s="7" t="inlineStr">
        <is>
          <t>unid</t>
        </is>
      </c>
      <c r="F80" s="8" t="n">
        <v>1.08</v>
      </c>
      <c r="G80" s="8" t="n">
        <v>1853.28</v>
      </c>
      <c r="H80" s="9" t="n">
        <v>0</v>
      </c>
      <c r="I80" s="8" t="n">
        <v>0</v>
      </c>
      <c r="J80" s="9" t="n">
        <v>0</v>
      </c>
      <c r="K80" s="8" t="n">
        <v>0</v>
      </c>
      <c r="L80" s="9" t="n">
        <v>1</v>
      </c>
      <c r="M80" s="8" t="n">
        <v>1853.28</v>
      </c>
      <c r="N80" s="9" t="n">
        <v>0</v>
      </c>
      <c r="O80" s="8" t="n">
        <v>0</v>
      </c>
      <c r="P80" s="9" t="n">
        <v>0</v>
      </c>
      <c r="Q80" s="8" t="n">
        <v>0</v>
      </c>
      <c r="R80" s="9" t="n">
        <v>0</v>
      </c>
      <c r="S80" s="8" t="n">
        <v>0</v>
      </c>
      <c r="T80" s="9">
        <f>H80+J80+L80+N80+P80+R80</f>
        <v/>
      </c>
    </row>
    <row r="81">
      <c r="A81" s="4" t="inlineStr">
        <is>
          <t>2.2.1.3</t>
        </is>
      </c>
      <c r="B81" s="13" t="inlineStr">
        <is>
          <t>Parafusos de Costura 10x3/4" c/ Arruela EPDM</t>
        </is>
      </c>
      <c r="C81" s="4" t="inlineStr">
        <is>
          <t>Cobertura</t>
        </is>
      </c>
      <c r="D81" s="14" t="n">
        <v>364</v>
      </c>
      <c r="E81" s="4" t="inlineStr">
        <is>
          <t>unid</t>
        </is>
      </c>
      <c r="F81" s="5" t="n">
        <v>0.83</v>
      </c>
      <c r="G81" s="5" t="n">
        <v>302.12</v>
      </c>
      <c r="H81" s="6" t="n">
        <v>0</v>
      </c>
      <c r="I81" s="5" t="n">
        <v>0</v>
      </c>
      <c r="J81" s="6" t="n">
        <v>0</v>
      </c>
      <c r="K81" s="5" t="n">
        <v>0</v>
      </c>
      <c r="L81" s="6" t="n">
        <v>1</v>
      </c>
      <c r="M81" s="5" t="n">
        <v>302.12</v>
      </c>
      <c r="N81" s="6" t="n">
        <v>0</v>
      </c>
      <c r="O81" s="5" t="n">
        <v>0</v>
      </c>
      <c r="P81" s="6" t="n">
        <v>0</v>
      </c>
      <c r="Q81" s="5" t="n">
        <v>0</v>
      </c>
      <c r="R81" s="6" t="n">
        <v>0</v>
      </c>
      <c r="S81" s="5" t="n">
        <v>0</v>
      </c>
      <c r="T81" s="6">
        <f>H81+J81+L81+N81+P81+R81</f>
        <v/>
      </c>
    </row>
    <row r="82">
      <c r="A82" s="7" t="inlineStr">
        <is>
          <t>2.2.1.4</t>
        </is>
      </c>
      <c r="B82" s="15" t="inlineStr">
        <is>
          <t>Fita de Vedação Butílica Autoadesiva 15mm</t>
        </is>
      </c>
      <c r="C82" s="7" t="inlineStr">
        <is>
          <t>Cobertura</t>
        </is>
      </c>
      <c r="D82" s="16" t="n">
        <v>122</v>
      </c>
      <c r="E82" s="7" t="inlineStr">
        <is>
          <t>m</t>
        </is>
      </c>
      <c r="F82" s="8" t="n">
        <v>4.83</v>
      </c>
      <c r="G82" s="8" t="n">
        <v>589.26</v>
      </c>
      <c r="H82" s="9" t="n">
        <v>0</v>
      </c>
      <c r="I82" s="8" t="n">
        <v>0</v>
      </c>
      <c r="J82" s="9" t="n">
        <v>0</v>
      </c>
      <c r="K82" s="8" t="n">
        <v>0</v>
      </c>
      <c r="L82" s="9" t="n">
        <v>1</v>
      </c>
      <c r="M82" s="8" t="n">
        <v>589.26</v>
      </c>
      <c r="N82" s="9" t="n">
        <v>0</v>
      </c>
      <c r="O82" s="8" t="n">
        <v>0</v>
      </c>
      <c r="P82" s="9" t="n">
        <v>0</v>
      </c>
      <c r="Q82" s="8" t="n">
        <v>0</v>
      </c>
      <c r="R82" s="9" t="n">
        <v>0</v>
      </c>
      <c r="S82" s="8" t="n">
        <v>0</v>
      </c>
      <c r="T82" s="9">
        <f>H82+J82+L82+N82+P82+R82</f>
        <v/>
      </c>
    </row>
    <row r="83">
      <c r="A83" s="4" t="inlineStr">
        <is>
          <t>2.2.2.1</t>
        </is>
      </c>
      <c r="B83" s="13" t="inlineStr">
        <is>
          <t>Terças Metálicas Perfil U Enrijecido 100x40x2,25mm</t>
        </is>
      </c>
      <c r="C83" s="4" t="inlineStr">
        <is>
          <t>Cobertura</t>
        </is>
      </c>
      <c r="D83" s="14" t="n">
        <v>156</v>
      </c>
      <c r="E83" s="4" t="inlineStr">
        <is>
          <t>m</t>
        </is>
      </c>
      <c r="F83" s="5" t="n">
        <v>15.46</v>
      </c>
      <c r="G83" s="5" t="n">
        <v>2411.76</v>
      </c>
      <c r="H83" s="6" t="n">
        <v>0</v>
      </c>
      <c r="I83" s="5" t="n">
        <v>0</v>
      </c>
      <c r="J83" s="6" t="n">
        <v>0</v>
      </c>
      <c r="K83" s="5" t="n">
        <v>0</v>
      </c>
      <c r="L83" s="6" t="n">
        <v>1</v>
      </c>
      <c r="M83" s="5" t="n">
        <v>2411.76</v>
      </c>
      <c r="N83" s="6" t="n">
        <v>0</v>
      </c>
      <c r="O83" s="5" t="n">
        <v>0</v>
      </c>
      <c r="P83" s="6" t="n">
        <v>0</v>
      </c>
      <c r="Q83" s="5" t="n">
        <v>0</v>
      </c>
      <c r="R83" s="6" t="n">
        <v>0</v>
      </c>
      <c r="S83" s="5" t="n">
        <v>0</v>
      </c>
      <c r="T83" s="6">
        <f>H83+J83+L83+N83+P83+R83</f>
        <v/>
      </c>
    </row>
    <row r="84">
      <c r="A84" s="7" t="inlineStr">
        <is>
          <t>2.2.2.2</t>
        </is>
      </c>
      <c r="B84" s="15" t="inlineStr">
        <is>
          <t>Chumbadores Parabolts CBA 3/8" x 3" p/ Terças</t>
        </is>
      </c>
      <c r="C84" s="7" t="inlineStr">
        <is>
          <t>Cobertura</t>
        </is>
      </c>
      <c r="D84" s="16" t="n">
        <v>60</v>
      </c>
      <c r="E84" s="7" t="inlineStr">
        <is>
          <t>unid</t>
        </is>
      </c>
      <c r="F84" s="8" t="n">
        <v>10.81</v>
      </c>
      <c r="G84" s="8" t="n">
        <v>648.6</v>
      </c>
      <c r="H84" s="9" t="n">
        <v>0</v>
      </c>
      <c r="I84" s="8" t="n">
        <v>0</v>
      </c>
      <c r="J84" s="9" t="n">
        <v>0</v>
      </c>
      <c r="K84" s="8" t="n">
        <v>0</v>
      </c>
      <c r="L84" s="9" t="n">
        <v>1</v>
      </c>
      <c r="M84" s="8" t="n">
        <v>648.6</v>
      </c>
      <c r="N84" s="9" t="n">
        <v>0</v>
      </c>
      <c r="O84" s="8" t="n">
        <v>0</v>
      </c>
      <c r="P84" s="9" t="n">
        <v>0</v>
      </c>
      <c r="Q84" s="8" t="n">
        <v>0</v>
      </c>
      <c r="R84" s="9" t="n">
        <v>0</v>
      </c>
      <c r="S84" s="8" t="n">
        <v>0</v>
      </c>
      <c r="T84" s="9">
        <f>H84+J84+L84+N84+P84+R84</f>
        <v/>
      </c>
    </row>
    <row r="85">
      <c r="A85" s="4" t="inlineStr">
        <is>
          <t>2.2.3</t>
        </is>
      </c>
      <c r="B85" s="13" t="inlineStr">
        <is>
          <t>Muretas Escalonadas de Apoio no Entreforro (Bloco 9x19x39cm)</t>
        </is>
      </c>
      <c r="C85" s="4" t="inlineStr">
        <is>
          <t>Cobertura</t>
        </is>
      </c>
      <c r="D85" s="14" t="n">
        <v>45.24</v>
      </c>
      <c r="E85" s="4" t="inlineStr">
        <is>
          <t>m²</t>
        </is>
      </c>
      <c r="F85" s="5" t="n">
        <v>79.48</v>
      </c>
      <c r="G85" s="5" t="n">
        <v>3595.68</v>
      </c>
      <c r="H85" s="6" t="n">
        <v>0</v>
      </c>
      <c r="I85" s="5" t="n">
        <v>0</v>
      </c>
      <c r="J85" s="6" t="n">
        <v>0</v>
      </c>
      <c r="K85" s="5" t="n">
        <v>0</v>
      </c>
      <c r="L85" s="6" t="n">
        <v>1</v>
      </c>
      <c r="M85" s="5" t="n">
        <v>3595.68</v>
      </c>
      <c r="N85" s="6" t="n">
        <v>0</v>
      </c>
      <c r="O85" s="5" t="n">
        <v>0</v>
      </c>
      <c r="P85" s="6" t="n">
        <v>0</v>
      </c>
      <c r="Q85" s="5" t="n">
        <v>0</v>
      </c>
      <c r="R85" s="6" t="n">
        <v>0</v>
      </c>
      <c r="S85" s="5" t="n">
        <v>0</v>
      </c>
      <c r="T85" s="6">
        <f>H85+J85+L85+N85+P85+R85</f>
        <v/>
      </c>
    </row>
    <row r="86">
      <c r="A86" s="7" t="inlineStr">
        <is>
          <t>2.2.4.1</t>
        </is>
      </c>
      <c r="B86" s="15" t="inlineStr">
        <is>
          <t>Calha em Chapa Galvanizada nº 24 (Dev 80cm)</t>
        </is>
      </c>
      <c r="C86" s="7" t="inlineStr">
        <is>
          <t>Cobertura</t>
        </is>
      </c>
      <c r="D86" s="16" t="n">
        <v>52</v>
      </c>
      <c r="E86" s="7" t="inlineStr">
        <is>
          <t>m</t>
        </is>
      </c>
      <c r="F86" s="8" t="n">
        <v>33.95</v>
      </c>
      <c r="G86" s="8" t="n">
        <v>1765.4</v>
      </c>
      <c r="H86" s="9" t="n">
        <v>0</v>
      </c>
      <c r="I86" s="8" t="n">
        <v>0</v>
      </c>
      <c r="J86" s="9" t="n">
        <v>0</v>
      </c>
      <c r="K86" s="8" t="n">
        <v>0</v>
      </c>
      <c r="L86" s="9" t="n">
        <v>1</v>
      </c>
      <c r="M86" s="8" t="n">
        <v>1765.4</v>
      </c>
      <c r="N86" s="9" t="n">
        <v>0</v>
      </c>
      <c r="O86" s="8" t="n">
        <v>0</v>
      </c>
      <c r="P86" s="9" t="n">
        <v>0</v>
      </c>
      <c r="Q86" s="8" t="n">
        <v>0</v>
      </c>
      <c r="R86" s="9" t="n">
        <v>0</v>
      </c>
      <c r="S86" s="8" t="n">
        <v>0</v>
      </c>
      <c r="T86" s="9">
        <f>H86+J86+L86+N86+P86+R86</f>
        <v/>
      </c>
    </row>
    <row r="87">
      <c r="A87" s="4" t="inlineStr">
        <is>
          <t>2.2.4.2</t>
        </is>
      </c>
      <c r="B87" s="13" t="inlineStr">
        <is>
          <t>Rebites de Repuxo em Alumínio 4,0x10mm p/ Calhas/Rufos</t>
        </is>
      </c>
      <c r="C87" s="4" t="inlineStr">
        <is>
          <t>Cobertura</t>
        </is>
      </c>
      <c r="D87" s="14" t="n">
        <v>440</v>
      </c>
      <c r="E87" s="4" t="inlineStr">
        <is>
          <t>unid</t>
        </is>
      </c>
      <c r="F87" s="5" t="n">
        <v>0.32</v>
      </c>
      <c r="G87" s="5" t="n">
        <v>140.8</v>
      </c>
      <c r="H87" s="6" t="n">
        <v>0</v>
      </c>
      <c r="I87" s="5" t="n">
        <v>0</v>
      </c>
      <c r="J87" s="6" t="n">
        <v>0</v>
      </c>
      <c r="K87" s="5" t="n">
        <v>0</v>
      </c>
      <c r="L87" s="6" t="n">
        <v>1</v>
      </c>
      <c r="M87" s="5" t="n">
        <v>140.8</v>
      </c>
      <c r="N87" s="6" t="n">
        <v>0</v>
      </c>
      <c r="O87" s="5" t="n">
        <v>0</v>
      </c>
      <c r="P87" s="6" t="n">
        <v>0</v>
      </c>
      <c r="Q87" s="5" t="n">
        <v>0</v>
      </c>
      <c r="R87" s="6" t="n">
        <v>0</v>
      </c>
      <c r="S87" s="5" t="n">
        <v>0</v>
      </c>
      <c r="T87" s="6">
        <f>H87+J87+L87+N87+P87+R87</f>
        <v/>
      </c>
    </row>
    <row r="88">
      <c r="A88" s="7" t="inlineStr">
        <is>
          <t>2.2.4.3</t>
        </is>
      </c>
      <c r="B88" s="15" t="inlineStr">
        <is>
          <t>Selante PU 40 p/ Calafetação de Calhas e Rufos</t>
        </is>
      </c>
      <c r="C88" s="7" t="inlineStr">
        <is>
          <t>Cobertura</t>
        </is>
      </c>
      <c r="D88" s="16" t="n">
        <v>6</v>
      </c>
      <c r="E88" s="7" t="inlineStr">
        <is>
          <t>unid</t>
        </is>
      </c>
      <c r="F88" s="8" t="n">
        <v>36.24</v>
      </c>
      <c r="G88" s="8" t="n">
        <v>217.44</v>
      </c>
      <c r="H88" s="9" t="n">
        <v>0</v>
      </c>
      <c r="I88" s="8" t="n">
        <v>0</v>
      </c>
      <c r="J88" s="9" t="n">
        <v>0</v>
      </c>
      <c r="K88" s="8" t="n">
        <v>0</v>
      </c>
      <c r="L88" s="9" t="n">
        <v>1</v>
      </c>
      <c r="M88" s="8" t="n">
        <v>217.44</v>
      </c>
      <c r="N88" s="9" t="n">
        <v>0</v>
      </c>
      <c r="O88" s="8" t="n">
        <v>0</v>
      </c>
      <c r="P88" s="9" t="n">
        <v>0</v>
      </c>
      <c r="Q88" s="8" t="n">
        <v>0</v>
      </c>
      <c r="R88" s="9" t="n">
        <v>0</v>
      </c>
      <c r="S88" s="8" t="n">
        <v>0</v>
      </c>
      <c r="T88" s="9">
        <f>H88+J88+L88+N88+P88+R88</f>
        <v/>
      </c>
    </row>
    <row r="89">
      <c r="A89" s="4" t="inlineStr">
        <is>
          <t>2.2.5</t>
        </is>
      </c>
      <c r="B89" s="13" t="inlineStr">
        <is>
          <t>Rufo e Pingadeira Metálica de Platibanda (Dev 40cm)</t>
        </is>
      </c>
      <c r="C89" s="4" t="inlineStr">
        <is>
          <t>Cobertura</t>
        </is>
      </c>
      <c r="D89" s="14" t="n">
        <v>82</v>
      </c>
      <c r="E89" s="4" t="inlineStr">
        <is>
          <t>m</t>
        </is>
      </c>
      <c r="F89" s="5" t="n">
        <v>41.33</v>
      </c>
      <c r="G89" s="5" t="n">
        <v>3389.06</v>
      </c>
      <c r="H89" s="6" t="n">
        <v>0</v>
      </c>
      <c r="I89" s="5" t="n">
        <v>0</v>
      </c>
      <c r="J89" s="6" t="n">
        <v>0</v>
      </c>
      <c r="K89" s="5" t="n">
        <v>0</v>
      </c>
      <c r="L89" s="6" t="n">
        <v>1</v>
      </c>
      <c r="M89" s="5" t="n">
        <v>3389.06</v>
      </c>
      <c r="N89" s="6" t="n">
        <v>0</v>
      </c>
      <c r="O89" s="5" t="n">
        <v>0</v>
      </c>
      <c r="P89" s="6" t="n">
        <v>0</v>
      </c>
      <c r="Q89" s="5" t="n">
        <v>0</v>
      </c>
      <c r="R89" s="6" t="n">
        <v>0</v>
      </c>
      <c r="S89" s="5" t="n">
        <v>0</v>
      </c>
      <c r="T89" s="6">
        <f>H89+J89+L89+N89+P89+R89</f>
        <v/>
      </c>
    </row>
    <row r="90">
      <c r="A90" s="7" t="inlineStr">
        <is>
          <t>2.2.6.1</t>
        </is>
      </c>
      <c r="B90" s="15" t="inlineStr">
        <is>
          <t>Impermeabilização Manta Asfáltica 4mm em Calhas</t>
        </is>
      </c>
      <c r="C90" s="7" t="inlineStr">
        <is>
          <t>Cobertura</t>
        </is>
      </c>
      <c r="D90" s="16" t="n">
        <v>62</v>
      </c>
      <c r="E90" s="7" t="inlineStr">
        <is>
          <t>m²</t>
        </is>
      </c>
      <c r="F90" s="8" t="n">
        <v>99.83</v>
      </c>
      <c r="G90" s="8" t="n">
        <v>6189.46</v>
      </c>
      <c r="H90" s="9" t="n">
        <v>0</v>
      </c>
      <c r="I90" s="8" t="n">
        <v>0</v>
      </c>
      <c r="J90" s="9" t="n">
        <v>0</v>
      </c>
      <c r="K90" s="8" t="n">
        <v>0</v>
      </c>
      <c r="L90" s="9" t="n">
        <v>1</v>
      </c>
      <c r="M90" s="8" t="n">
        <v>6189.46</v>
      </c>
      <c r="N90" s="9" t="n">
        <v>0</v>
      </c>
      <c r="O90" s="8" t="n">
        <v>0</v>
      </c>
      <c r="P90" s="9" t="n">
        <v>0</v>
      </c>
      <c r="Q90" s="8" t="n">
        <v>0</v>
      </c>
      <c r="R90" s="9" t="n">
        <v>0</v>
      </c>
      <c r="S90" s="8" t="n">
        <v>0</v>
      </c>
      <c r="T90" s="9">
        <f>H90+J90+L90+N90+P90+R90</f>
        <v/>
      </c>
    </row>
    <row r="91">
      <c r="A91" s="4" t="inlineStr">
        <is>
          <t>2.2.6.2</t>
        </is>
      </c>
      <c r="B91" s="13" t="inlineStr">
        <is>
          <t>Primer Asfáltico Base Solvente p/ Calhas</t>
        </is>
      </c>
      <c r="C91" s="4" t="inlineStr">
        <is>
          <t>Cobertura</t>
        </is>
      </c>
      <c r="D91" s="14" t="n">
        <v>24.8</v>
      </c>
      <c r="E91" s="4" t="inlineStr">
        <is>
          <t>L</t>
        </is>
      </c>
      <c r="F91" s="5" t="n">
        <v>23.53</v>
      </c>
      <c r="G91" s="5" t="n">
        <v>583.54</v>
      </c>
      <c r="H91" s="6" t="n">
        <v>0</v>
      </c>
      <c r="I91" s="5" t="n">
        <v>0</v>
      </c>
      <c r="J91" s="6" t="n">
        <v>0</v>
      </c>
      <c r="K91" s="5" t="n">
        <v>0</v>
      </c>
      <c r="L91" s="6" t="n">
        <v>1</v>
      </c>
      <c r="M91" s="5" t="n">
        <v>583.54</v>
      </c>
      <c r="N91" s="6" t="n">
        <v>0</v>
      </c>
      <c r="O91" s="5" t="n">
        <v>0</v>
      </c>
      <c r="P91" s="6" t="n">
        <v>0</v>
      </c>
      <c r="Q91" s="5" t="n">
        <v>0</v>
      </c>
      <c r="R91" s="6" t="n">
        <v>0</v>
      </c>
      <c r="S91" s="5" t="n">
        <v>0</v>
      </c>
      <c r="T91" s="6">
        <f>H91+J91+L91+N91+P91+R91</f>
        <v/>
      </c>
    </row>
    <row r="92">
      <c r="A92" s="7" t="inlineStr">
        <is>
          <t>2.2.6.3</t>
        </is>
      </c>
      <c r="B92" s="15" t="inlineStr">
        <is>
          <t>Gás GLP P-13 p/ Maçarico de Manta Asfáltica</t>
        </is>
      </c>
      <c r="C92" s="7" t="inlineStr">
        <is>
          <t>Cobertura</t>
        </is>
      </c>
      <c r="D92" s="16" t="n">
        <v>1.24</v>
      </c>
      <c r="E92" s="7" t="inlineStr">
        <is>
          <t>unid</t>
        </is>
      </c>
      <c r="F92" s="8" t="n">
        <v>146.25</v>
      </c>
      <c r="G92" s="8" t="n">
        <v>181.35</v>
      </c>
      <c r="H92" s="9" t="n">
        <v>0</v>
      </c>
      <c r="I92" s="8" t="n">
        <v>0</v>
      </c>
      <c r="J92" s="9" t="n">
        <v>0</v>
      </c>
      <c r="K92" s="8" t="n">
        <v>0</v>
      </c>
      <c r="L92" s="9" t="n">
        <v>1</v>
      </c>
      <c r="M92" s="8" t="n">
        <v>181.35</v>
      </c>
      <c r="N92" s="9" t="n">
        <v>0</v>
      </c>
      <c r="O92" s="8" t="n">
        <v>0</v>
      </c>
      <c r="P92" s="9" t="n">
        <v>0</v>
      </c>
      <c r="Q92" s="8" t="n">
        <v>0</v>
      </c>
      <c r="R92" s="9" t="n">
        <v>0</v>
      </c>
      <c r="S92" s="8" t="n">
        <v>0</v>
      </c>
      <c r="T92" s="9">
        <f>H92+J92+L92+N92+P92+R92</f>
        <v/>
      </c>
    </row>
    <row r="93">
      <c r="A93" s="4" t="inlineStr">
        <is>
          <t>2.2.7</t>
        </is>
      </c>
      <c r="B93" s="13" t="inlineStr">
        <is>
          <t>Ralo Hemisférico Tipo Abacaxi Inox Ø150mm para Calhas</t>
        </is>
      </c>
      <c r="C93" s="4" t="inlineStr">
        <is>
          <t>Cobertura</t>
        </is>
      </c>
      <c r="D93" s="14" t="n">
        <v>8</v>
      </c>
      <c r="E93" s="4" t="inlineStr">
        <is>
          <t>unid</t>
        </is>
      </c>
      <c r="F93" s="5" t="n">
        <v>61.04</v>
      </c>
      <c r="G93" s="5" t="n">
        <v>488.32</v>
      </c>
      <c r="H93" s="6" t="n">
        <v>0</v>
      </c>
      <c r="I93" s="5" t="n">
        <v>0</v>
      </c>
      <c r="J93" s="6" t="n">
        <v>0</v>
      </c>
      <c r="K93" s="5" t="n">
        <v>0</v>
      </c>
      <c r="L93" s="6" t="n">
        <v>1</v>
      </c>
      <c r="M93" s="5" t="n">
        <v>488.32</v>
      </c>
      <c r="N93" s="6" t="n">
        <v>0</v>
      </c>
      <c r="O93" s="5" t="n">
        <v>0</v>
      </c>
      <c r="P93" s="6" t="n">
        <v>0</v>
      </c>
      <c r="Q93" s="5" t="n">
        <v>0</v>
      </c>
      <c r="R93" s="6" t="n">
        <v>0</v>
      </c>
      <c r="S93" s="5" t="n">
        <v>0</v>
      </c>
      <c r="T93" s="6">
        <f>H93+J93+L93+N93+P93+R93</f>
        <v/>
      </c>
    </row>
    <row r="94">
      <c r="A94" s="7" t="inlineStr">
        <is>
          <t>2.2.8</t>
        </is>
      </c>
      <c r="B94" s="15" t="inlineStr">
        <is>
          <t>Alvenaria de Platibanda Bloco Concreto 14x19x39cm (h=0,39m)</t>
        </is>
      </c>
      <c r="C94" s="7" t="inlineStr">
        <is>
          <t>Cobertura</t>
        </is>
      </c>
      <c r="D94" s="16" t="n">
        <v>31.98</v>
      </c>
      <c r="E94" s="7" t="inlineStr">
        <is>
          <t>m²</t>
        </is>
      </c>
      <c r="F94" s="8" t="n">
        <v>92.58</v>
      </c>
      <c r="G94" s="8" t="n">
        <v>2960.71</v>
      </c>
      <c r="H94" s="9" t="n">
        <v>0</v>
      </c>
      <c r="I94" s="8" t="n">
        <v>0</v>
      </c>
      <c r="J94" s="9" t="n">
        <v>0</v>
      </c>
      <c r="K94" s="8" t="n">
        <v>0</v>
      </c>
      <c r="L94" s="9" t="n">
        <v>1</v>
      </c>
      <c r="M94" s="8" t="n">
        <v>2960.71</v>
      </c>
      <c r="N94" s="9" t="n">
        <v>0</v>
      </c>
      <c r="O94" s="8" t="n">
        <v>0</v>
      </c>
      <c r="P94" s="9" t="n">
        <v>0</v>
      </c>
      <c r="Q94" s="8" t="n">
        <v>0</v>
      </c>
      <c r="R94" s="9" t="n">
        <v>0</v>
      </c>
      <c r="S94" s="8" t="n">
        <v>0</v>
      </c>
      <c r="T94" s="9">
        <f>H94+J94+L94+N94+P94+R94</f>
        <v/>
      </c>
    </row>
    <row r="95">
      <c r="A95" s="4" t="inlineStr">
        <is>
          <t>2.2.9</t>
        </is>
      </c>
      <c r="B95" s="13" t="inlineStr">
        <is>
          <t>Chapisco e Emboço/Reboco e=20mm Face Interna da Platibanda</t>
        </is>
      </c>
      <c r="C95" s="4" t="inlineStr">
        <is>
          <t>Cobertura</t>
        </is>
      </c>
      <c r="D95" s="14" t="n">
        <v>74.62</v>
      </c>
      <c r="E95" s="4" t="inlineStr">
        <is>
          <t>m²</t>
        </is>
      </c>
      <c r="F95" s="5" t="n">
        <v>55.87</v>
      </c>
      <c r="G95" s="5" t="n">
        <v>4169.02</v>
      </c>
      <c r="H95" s="6" t="n">
        <v>0</v>
      </c>
      <c r="I95" s="5" t="n">
        <v>0</v>
      </c>
      <c r="J95" s="6" t="n">
        <v>0</v>
      </c>
      <c r="K95" s="5" t="n">
        <v>0</v>
      </c>
      <c r="L95" s="6" t="n">
        <v>1</v>
      </c>
      <c r="M95" s="5" t="n">
        <v>4169.02</v>
      </c>
      <c r="N95" s="6" t="n">
        <v>0</v>
      </c>
      <c r="O95" s="5" t="n">
        <v>0</v>
      </c>
      <c r="P95" s="6" t="n">
        <v>0</v>
      </c>
      <c r="Q95" s="5" t="n">
        <v>0</v>
      </c>
      <c r="R95" s="6" t="n">
        <v>0</v>
      </c>
      <c r="S95" s="5" t="n">
        <v>0</v>
      </c>
      <c r="T95" s="6">
        <f>H95+J95+L95+N95+P95+R95</f>
        <v/>
      </c>
    </row>
    <row r="96">
      <c r="A96" s="7" t="inlineStr">
        <is>
          <t>2.2.10</t>
        </is>
      </c>
      <c r="B96" s="15" t="inlineStr">
        <is>
          <t>Pintura Acrílica Impermeável 3 Demãos Face Interna da Platibanda</t>
        </is>
      </c>
      <c r="C96" s="7" t="inlineStr">
        <is>
          <t>Cobertura</t>
        </is>
      </c>
      <c r="D96" s="16" t="n">
        <v>74.62</v>
      </c>
      <c r="E96" s="7" t="inlineStr">
        <is>
          <t>m²</t>
        </is>
      </c>
      <c r="F96" s="8" t="n">
        <v>19.65</v>
      </c>
      <c r="G96" s="8" t="n">
        <v>1466.28</v>
      </c>
      <c r="H96" s="9" t="n">
        <v>0</v>
      </c>
      <c r="I96" s="8" t="n">
        <v>0</v>
      </c>
      <c r="J96" s="9" t="n">
        <v>0</v>
      </c>
      <c r="K96" s="8" t="n">
        <v>0</v>
      </c>
      <c r="L96" s="9" t="n">
        <v>1</v>
      </c>
      <c r="M96" s="8" t="n">
        <v>1466.28</v>
      </c>
      <c r="N96" s="9" t="n">
        <v>0</v>
      </c>
      <c r="O96" s="8" t="n">
        <v>0</v>
      </c>
      <c r="P96" s="9" t="n">
        <v>0</v>
      </c>
      <c r="Q96" s="8" t="n">
        <v>0</v>
      </c>
      <c r="R96" s="9" t="n">
        <v>0</v>
      </c>
      <c r="S96" s="8" t="n">
        <v>0</v>
      </c>
      <c r="T96" s="9">
        <f>H96+J96+L96+N96+P96+R96</f>
        <v/>
      </c>
    </row>
    <row r="97">
      <c r="A97" s="4" t="inlineStr">
        <is>
          <t>3.1.1</t>
        </is>
      </c>
      <c r="B97" s="13" t="inlineStr">
        <is>
          <t>Cabo Cobre Flexível 750V 2,5mm² (Iluminação/TUG)</t>
        </is>
      </c>
      <c r="C97" s="4" t="inlineStr">
        <is>
          <t>Elétrica</t>
        </is>
      </c>
      <c r="D97" s="14" t="n">
        <v>1850</v>
      </c>
      <c r="E97" s="4" t="inlineStr">
        <is>
          <t>m</t>
        </is>
      </c>
      <c r="F97" s="5" t="n">
        <v>7.36</v>
      </c>
      <c r="G97" s="5" t="n">
        <v>13616</v>
      </c>
      <c r="H97" s="6" t="n">
        <v>0</v>
      </c>
      <c r="I97" s="5" t="n">
        <v>0</v>
      </c>
      <c r="J97" s="6" t="n">
        <v>0</v>
      </c>
      <c r="K97" s="5" t="n">
        <v>0</v>
      </c>
      <c r="L97" s="6" t="n">
        <v>0</v>
      </c>
      <c r="M97" s="5" t="n">
        <v>0</v>
      </c>
      <c r="N97" s="6" t="n">
        <v>0</v>
      </c>
      <c r="O97" s="5" t="n">
        <v>0</v>
      </c>
      <c r="P97" s="6" t="n">
        <v>1</v>
      </c>
      <c r="Q97" s="5" t="n">
        <v>13616</v>
      </c>
      <c r="R97" s="6" t="n">
        <v>0</v>
      </c>
      <c r="S97" s="5" t="n">
        <v>0</v>
      </c>
      <c r="T97" s="6">
        <f>H97+J97+L97+N97+P97+R97</f>
        <v/>
      </c>
    </row>
    <row r="98">
      <c r="A98" s="7" t="inlineStr">
        <is>
          <t>3.1.2</t>
        </is>
      </c>
      <c r="B98" s="15" t="inlineStr">
        <is>
          <t>Cabo Cobre Flexível 750V 4,0mm² (Tomadas TUG/TUE)</t>
        </is>
      </c>
      <c r="C98" s="7" t="inlineStr">
        <is>
          <t>Elétrica</t>
        </is>
      </c>
      <c r="D98" s="16" t="n">
        <v>640</v>
      </c>
      <c r="E98" s="7" t="inlineStr">
        <is>
          <t>m</t>
        </is>
      </c>
      <c r="F98" s="8" t="n">
        <v>10.75</v>
      </c>
      <c r="G98" s="8" t="n">
        <v>6880</v>
      </c>
      <c r="H98" s="9" t="n">
        <v>0</v>
      </c>
      <c r="I98" s="8" t="n">
        <v>0</v>
      </c>
      <c r="J98" s="9" t="n">
        <v>0</v>
      </c>
      <c r="K98" s="8" t="n">
        <v>0</v>
      </c>
      <c r="L98" s="9" t="n">
        <v>0</v>
      </c>
      <c r="M98" s="8" t="n">
        <v>0</v>
      </c>
      <c r="N98" s="9" t="n">
        <v>0</v>
      </c>
      <c r="O98" s="8" t="n">
        <v>0</v>
      </c>
      <c r="P98" s="9" t="n">
        <v>1</v>
      </c>
      <c r="Q98" s="8" t="n">
        <v>6880</v>
      </c>
      <c r="R98" s="9" t="n">
        <v>0</v>
      </c>
      <c r="S98" s="8" t="n">
        <v>0</v>
      </c>
      <c r="T98" s="9">
        <f>H98+J98+L98+N98+P98+R98</f>
        <v/>
      </c>
    </row>
    <row r="99">
      <c r="A99" s="4" t="inlineStr">
        <is>
          <t>3.1.3</t>
        </is>
      </c>
      <c r="B99" s="13" t="inlineStr">
        <is>
          <t>Cabo Cobre Flexível 750V 6,0mm² (Ar Condicionado)</t>
        </is>
      </c>
      <c r="C99" s="4" t="inlineStr">
        <is>
          <t>Elétrica</t>
        </is>
      </c>
      <c r="D99" s="14" t="n">
        <v>420</v>
      </c>
      <c r="E99" s="4" t="inlineStr">
        <is>
          <t>m</t>
        </is>
      </c>
      <c r="F99" s="5" t="n">
        <v>16.28</v>
      </c>
      <c r="G99" s="5" t="n">
        <v>6837.6</v>
      </c>
      <c r="H99" s="6" t="n">
        <v>0</v>
      </c>
      <c r="I99" s="5" t="n">
        <v>0</v>
      </c>
      <c r="J99" s="6" t="n">
        <v>0</v>
      </c>
      <c r="K99" s="5" t="n">
        <v>0</v>
      </c>
      <c r="L99" s="6" t="n">
        <v>0</v>
      </c>
      <c r="M99" s="5" t="n">
        <v>0</v>
      </c>
      <c r="N99" s="6" t="n">
        <v>0</v>
      </c>
      <c r="O99" s="5" t="n">
        <v>0</v>
      </c>
      <c r="P99" s="6" t="n">
        <v>1</v>
      </c>
      <c r="Q99" s="5" t="n">
        <v>6837.6</v>
      </c>
      <c r="R99" s="6" t="n">
        <v>0</v>
      </c>
      <c r="S99" s="5" t="n">
        <v>0</v>
      </c>
      <c r="T99" s="6">
        <f>H99+J99+L99+N99+P99+R99</f>
        <v/>
      </c>
    </row>
    <row r="100">
      <c r="A100" s="7" t="inlineStr">
        <is>
          <t>3.1.4</t>
        </is>
      </c>
      <c r="B100" s="15" t="inlineStr">
        <is>
          <t>Cabo Cobre Sintenax 0,6/1kV 35mm² (Alimentador)</t>
        </is>
      </c>
      <c r="C100" s="7" t="inlineStr">
        <is>
          <t>Elétrica</t>
        </is>
      </c>
      <c r="D100" s="16" t="n">
        <v>120</v>
      </c>
      <c r="E100" s="7" t="inlineStr">
        <is>
          <t>m</t>
        </is>
      </c>
      <c r="F100" s="8" t="n">
        <v>87.11</v>
      </c>
      <c r="G100" s="8" t="n">
        <v>10453.2</v>
      </c>
      <c r="H100" s="9" t="n">
        <v>0</v>
      </c>
      <c r="I100" s="8" t="n">
        <v>0</v>
      </c>
      <c r="J100" s="9" t="n">
        <v>0</v>
      </c>
      <c r="K100" s="8" t="n">
        <v>0</v>
      </c>
      <c r="L100" s="9" t="n">
        <v>0</v>
      </c>
      <c r="M100" s="8" t="n">
        <v>0</v>
      </c>
      <c r="N100" s="9" t="n">
        <v>0</v>
      </c>
      <c r="O100" s="8" t="n">
        <v>0</v>
      </c>
      <c r="P100" s="9" t="n">
        <v>1</v>
      </c>
      <c r="Q100" s="8" t="n">
        <v>10453.2</v>
      </c>
      <c r="R100" s="9" t="n">
        <v>0</v>
      </c>
      <c r="S100" s="8" t="n">
        <v>0</v>
      </c>
      <c r="T100" s="9">
        <f>H100+J100+L100+N100+P100+R100</f>
        <v/>
      </c>
    </row>
    <row r="101">
      <c r="A101" s="4" t="inlineStr">
        <is>
          <t>3.1.5</t>
        </is>
      </c>
      <c r="B101" s="13" t="inlineStr">
        <is>
          <t>Eletroduto Rígido PVC Ø3/4" (25mm) c/ Conexões</t>
        </is>
      </c>
      <c r="C101" s="4" t="inlineStr">
        <is>
          <t>Elétrica</t>
        </is>
      </c>
      <c r="D101" s="14" t="n">
        <v>480</v>
      </c>
      <c r="E101" s="4" t="inlineStr">
        <is>
          <t>m</t>
        </is>
      </c>
      <c r="F101" s="5" t="n">
        <v>17.74</v>
      </c>
      <c r="G101" s="5" t="n">
        <v>8515.200000000001</v>
      </c>
      <c r="H101" s="6" t="n">
        <v>0</v>
      </c>
      <c r="I101" s="5" t="n">
        <v>0</v>
      </c>
      <c r="J101" s="6" t="n">
        <v>0</v>
      </c>
      <c r="K101" s="5" t="n">
        <v>0</v>
      </c>
      <c r="L101" s="6" t="n">
        <v>0</v>
      </c>
      <c r="M101" s="5" t="n">
        <v>0</v>
      </c>
      <c r="N101" s="6" t="n">
        <v>1</v>
      </c>
      <c r="O101" s="5" t="n">
        <v>8515.200000000001</v>
      </c>
      <c r="P101" s="6" t="n">
        <v>0</v>
      </c>
      <c r="Q101" s="5" t="n">
        <v>0</v>
      </c>
      <c r="R101" s="6" t="n">
        <v>0</v>
      </c>
      <c r="S101" s="5" t="n">
        <v>0</v>
      </c>
      <c r="T101" s="6">
        <f>H101+J101+L101+N101+P101+R101</f>
        <v/>
      </c>
    </row>
    <row r="102">
      <c r="A102" s="7" t="inlineStr">
        <is>
          <t>3.1.6</t>
        </is>
      </c>
      <c r="B102" s="15" t="inlineStr">
        <is>
          <t>Eletroduto Rígido PVC Ø1" (32mm) c/ Conexões</t>
        </is>
      </c>
      <c r="C102" s="7" t="inlineStr">
        <is>
          <t>Elétrica</t>
        </is>
      </c>
      <c r="D102" s="16" t="n">
        <v>210</v>
      </c>
      <c r="E102" s="7" t="inlineStr">
        <is>
          <t>m</t>
        </is>
      </c>
      <c r="F102" s="8" t="n">
        <v>23.14</v>
      </c>
      <c r="G102" s="8" t="n">
        <v>4859.4</v>
      </c>
      <c r="H102" s="9" t="n">
        <v>0</v>
      </c>
      <c r="I102" s="8" t="n">
        <v>0</v>
      </c>
      <c r="J102" s="9" t="n">
        <v>0</v>
      </c>
      <c r="K102" s="8" t="n">
        <v>0</v>
      </c>
      <c r="L102" s="9" t="n">
        <v>0</v>
      </c>
      <c r="M102" s="8" t="n">
        <v>0</v>
      </c>
      <c r="N102" s="9" t="n">
        <v>1</v>
      </c>
      <c r="O102" s="8" t="n">
        <v>4859.4</v>
      </c>
      <c r="P102" s="9" t="n">
        <v>0</v>
      </c>
      <c r="Q102" s="8" t="n">
        <v>0</v>
      </c>
      <c r="R102" s="9" t="n">
        <v>0</v>
      </c>
      <c r="S102" s="8" t="n">
        <v>0</v>
      </c>
      <c r="T102" s="9">
        <f>H102+J102+L102+N102+P102+R102</f>
        <v/>
      </c>
    </row>
    <row r="103">
      <c r="A103" s="4" t="inlineStr">
        <is>
          <t>3.1.7</t>
        </is>
      </c>
      <c r="B103" s="13" t="inlineStr">
        <is>
          <t>Caixa de Embutir 4x2" PVC Amarela para Parede</t>
        </is>
      </c>
      <c r="C103" s="4" t="inlineStr">
        <is>
          <t>Elétrica</t>
        </is>
      </c>
      <c r="D103" s="14" t="n">
        <v>184</v>
      </c>
      <c r="E103" s="4" t="inlineStr">
        <is>
          <t>unid</t>
        </is>
      </c>
      <c r="F103" s="5" t="n">
        <v>4.07</v>
      </c>
      <c r="G103" s="5" t="n">
        <v>748.88</v>
      </c>
      <c r="H103" s="6" t="n">
        <v>0</v>
      </c>
      <c r="I103" s="5" t="n">
        <v>0</v>
      </c>
      <c r="J103" s="6" t="n">
        <v>0</v>
      </c>
      <c r="K103" s="5" t="n">
        <v>0</v>
      </c>
      <c r="L103" s="6" t="n">
        <v>0</v>
      </c>
      <c r="M103" s="5" t="n">
        <v>0</v>
      </c>
      <c r="N103" s="6" t="n">
        <v>1</v>
      </c>
      <c r="O103" s="5" t="n">
        <v>748.88</v>
      </c>
      <c r="P103" s="6" t="n">
        <v>0</v>
      </c>
      <c r="Q103" s="5" t="n">
        <v>0</v>
      </c>
      <c r="R103" s="6" t="n">
        <v>0</v>
      </c>
      <c r="S103" s="5" t="n">
        <v>0</v>
      </c>
      <c r="T103" s="6">
        <f>H103+J103+L103+N103+P103+R103</f>
        <v/>
      </c>
    </row>
    <row r="104">
      <c r="A104" s="7" t="inlineStr">
        <is>
          <t>3.1.8</t>
        </is>
      </c>
      <c r="B104" s="15" t="inlineStr">
        <is>
          <t>Caixa de Embutir 4x4" PVC Amarela para Parede</t>
        </is>
      </c>
      <c r="C104" s="7" t="inlineStr">
        <is>
          <t>Elétrica</t>
        </is>
      </c>
      <c r="D104" s="16" t="n">
        <v>24</v>
      </c>
      <c r="E104" s="7" t="inlineStr">
        <is>
          <t>unid</t>
        </is>
      </c>
      <c r="F104" s="8" t="n">
        <v>7.38</v>
      </c>
      <c r="G104" s="8" t="n">
        <v>177.12</v>
      </c>
      <c r="H104" s="9" t="n">
        <v>0</v>
      </c>
      <c r="I104" s="8" t="n">
        <v>0</v>
      </c>
      <c r="J104" s="9" t="n">
        <v>0</v>
      </c>
      <c r="K104" s="8" t="n">
        <v>0</v>
      </c>
      <c r="L104" s="9" t="n">
        <v>0</v>
      </c>
      <c r="M104" s="8" t="n">
        <v>0</v>
      </c>
      <c r="N104" s="9" t="n">
        <v>1</v>
      </c>
      <c r="O104" s="8" t="n">
        <v>177.12</v>
      </c>
      <c r="P104" s="9" t="n">
        <v>0</v>
      </c>
      <c r="Q104" s="8" t="n">
        <v>0</v>
      </c>
      <c r="R104" s="9" t="n">
        <v>0</v>
      </c>
      <c r="S104" s="8" t="n">
        <v>0</v>
      </c>
      <c r="T104" s="9">
        <f>H104+J104+L104+N104+P104+R104</f>
        <v/>
      </c>
    </row>
    <row r="105">
      <c r="A105" s="4" t="inlineStr">
        <is>
          <t>3.1.9</t>
        </is>
      </c>
      <c r="B105" s="13" t="inlineStr">
        <is>
          <t>Caixa Octogonal 3x3" PVC para Teto</t>
        </is>
      </c>
      <c r="C105" s="4" t="inlineStr">
        <is>
          <t>Elétrica</t>
        </is>
      </c>
      <c r="D105" s="14" t="n">
        <v>68</v>
      </c>
      <c r="E105" s="4" t="inlineStr">
        <is>
          <t>unid</t>
        </is>
      </c>
      <c r="F105" s="5" t="n">
        <v>5.72</v>
      </c>
      <c r="G105" s="5" t="n">
        <v>388.96</v>
      </c>
      <c r="H105" s="6" t="n">
        <v>0</v>
      </c>
      <c r="I105" s="5" t="n">
        <v>0</v>
      </c>
      <c r="J105" s="6" t="n">
        <v>0</v>
      </c>
      <c r="K105" s="5" t="n">
        <v>0</v>
      </c>
      <c r="L105" s="6" t="n">
        <v>0</v>
      </c>
      <c r="M105" s="5" t="n">
        <v>0</v>
      </c>
      <c r="N105" s="6" t="n">
        <v>1</v>
      </c>
      <c r="O105" s="5" t="n">
        <v>388.96</v>
      </c>
      <c r="P105" s="6" t="n">
        <v>0</v>
      </c>
      <c r="Q105" s="5" t="n">
        <v>0</v>
      </c>
      <c r="R105" s="6" t="n">
        <v>0</v>
      </c>
      <c r="S105" s="5" t="n">
        <v>0</v>
      </c>
      <c r="T105" s="6">
        <f>H105+J105+L105+N105+P105+R105</f>
        <v/>
      </c>
    </row>
    <row r="106">
      <c r="A106" s="7" t="inlineStr">
        <is>
          <t>3.1.10</t>
        </is>
      </c>
      <c r="B106" s="15" t="inlineStr">
        <is>
          <t>Conjunto Suporte + Placa 4x2" c/ Parafusos</t>
        </is>
      </c>
      <c r="C106" s="7" t="inlineStr">
        <is>
          <t>Elétrica</t>
        </is>
      </c>
      <c r="D106" s="16" t="n">
        <v>184</v>
      </c>
      <c r="E106" s="7" t="inlineStr">
        <is>
          <t>unid</t>
        </is>
      </c>
      <c r="F106" s="8" t="n">
        <v>10.81</v>
      </c>
      <c r="G106" s="8" t="n">
        <v>1989.04</v>
      </c>
      <c r="H106" s="9" t="n">
        <v>0</v>
      </c>
      <c r="I106" s="8" t="n">
        <v>0</v>
      </c>
      <c r="J106" s="9" t="n">
        <v>0</v>
      </c>
      <c r="K106" s="8" t="n">
        <v>0</v>
      </c>
      <c r="L106" s="9" t="n">
        <v>0</v>
      </c>
      <c r="M106" s="8" t="n">
        <v>0</v>
      </c>
      <c r="N106" s="9" t="n">
        <v>0</v>
      </c>
      <c r="O106" s="8" t="n">
        <v>0</v>
      </c>
      <c r="P106" s="9" t="n">
        <v>0</v>
      </c>
      <c r="Q106" s="8" t="n">
        <v>0</v>
      </c>
      <c r="R106" s="9" t="n">
        <v>1</v>
      </c>
      <c r="S106" s="8" t="n">
        <v>1989.04</v>
      </c>
      <c r="T106" s="9">
        <f>H106+J106+L106+N106+P106+R106</f>
        <v/>
      </c>
    </row>
    <row r="107">
      <c r="A107" s="4" t="inlineStr">
        <is>
          <t>3.1.11</t>
        </is>
      </c>
      <c r="B107" s="13" t="inlineStr">
        <is>
          <t>Módulo de Tomada 2P+T 10A / 250V (Branca)</t>
        </is>
      </c>
      <c r="C107" s="4" t="inlineStr">
        <is>
          <t>Elétrica</t>
        </is>
      </c>
      <c r="D107" s="14" t="n">
        <v>110</v>
      </c>
      <c r="E107" s="4" t="inlineStr">
        <is>
          <t>unid</t>
        </is>
      </c>
      <c r="F107" s="5" t="n">
        <v>18.44</v>
      </c>
      <c r="G107" s="5" t="n">
        <v>2028.4</v>
      </c>
      <c r="H107" s="6" t="n">
        <v>0</v>
      </c>
      <c r="I107" s="5" t="n">
        <v>0</v>
      </c>
      <c r="J107" s="6" t="n">
        <v>0</v>
      </c>
      <c r="K107" s="5" t="n">
        <v>0</v>
      </c>
      <c r="L107" s="6" t="n">
        <v>0</v>
      </c>
      <c r="M107" s="5" t="n">
        <v>0</v>
      </c>
      <c r="N107" s="6" t="n">
        <v>0</v>
      </c>
      <c r="O107" s="5" t="n">
        <v>0</v>
      </c>
      <c r="P107" s="6" t="n">
        <v>0</v>
      </c>
      <c r="Q107" s="5" t="n">
        <v>0</v>
      </c>
      <c r="R107" s="6" t="n">
        <v>1</v>
      </c>
      <c r="S107" s="5" t="n">
        <v>2028.4</v>
      </c>
      <c r="T107" s="6">
        <f>H107+J107+L107+N107+P107+R107</f>
        <v/>
      </c>
    </row>
    <row r="108">
      <c r="A108" s="7" t="inlineStr">
        <is>
          <t>3.1.12</t>
        </is>
      </c>
      <c r="B108" s="15" t="inlineStr">
        <is>
          <t>Módulo de Tomada 2P+T 20A / 250V (Vermelha TUE)</t>
        </is>
      </c>
      <c r="C108" s="7" t="inlineStr">
        <is>
          <t>Elétrica</t>
        </is>
      </c>
      <c r="D108" s="16" t="n">
        <v>24</v>
      </c>
      <c r="E108" s="7" t="inlineStr">
        <is>
          <t>unid</t>
        </is>
      </c>
      <c r="F108" s="8" t="n">
        <v>21.36</v>
      </c>
      <c r="G108" s="8" t="n">
        <v>512.64</v>
      </c>
      <c r="H108" s="9" t="n">
        <v>0</v>
      </c>
      <c r="I108" s="8" t="n">
        <v>0</v>
      </c>
      <c r="J108" s="9" t="n">
        <v>0</v>
      </c>
      <c r="K108" s="8" t="n">
        <v>0</v>
      </c>
      <c r="L108" s="9" t="n">
        <v>0</v>
      </c>
      <c r="M108" s="8" t="n">
        <v>0</v>
      </c>
      <c r="N108" s="9" t="n">
        <v>0</v>
      </c>
      <c r="O108" s="8" t="n">
        <v>0</v>
      </c>
      <c r="P108" s="9" t="n">
        <v>0</v>
      </c>
      <c r="Q108" s="8" t="n">
        <v>0</v>
      </c>
      <c r="R108" s="9" t="n">
        <v>1</v>
      </c>
      <c r="S108" s="8" t="n">
        <v>512.64</v>
      </c>
      <c r="T108" s="9">
        <f>H108+J108+L108+N108+P108+R108</f>
        <v/>
      </c>
    </row>
    <row r="109">
      <c r="A109" s="4" t="inlineStr">
        <is>
          <t>3.1.13</t>
        </is>
      </c>
      <c r="B109" s="13" t="inlineStr">
        <is>
          <t>Módulo Interruptor Simples 10A</t>
        </is>
      </c>
      <c r="C109" s="4" t="inlineStr">
        <is>
          <t>Elétrica</t>
        </is>
      </c>
      <c r="D109" s="14" t="n">
        <v>22</v>
      </c>
      <c r="E109" s="4" t="inlineStr">
        <is>
          <t>unid</t>
        </is>
      </c>
      <c r="F109" s="5" t="n">
        <v>15.9</v>
      </c>
      <c r="G109" s="5" t="n">
        <v>349.8</v>
      </c>
      <c r="H109" s="6" t="n">
        <v>0</v>
      </c>
      <c r="I109" s="5" t="n">
        <v>0</v>
      </c>
      <c r="J109" s="6" t="n">
        <v>0</v>
      </c>
      <c r="K109" s="5" t="n">
        <v>0</v>
      </c>
      <c r="L109" s="6" t="n">
        <v>0</v>
      </c>
      <c r="M109" s="5" t="n">
        <v>0</v>
      </c>
      <c r="N109" s="6" t="n">
        <v>0</v>
      </c>
      <c r="O109" s="5" t="n">
        <v>0</v>
      </c>
      <c r="P109" s="6" t="n">
        <v>0</v>
      </c>
      <c r="Q109" s="5" t="n">
        <v>0</v>
      </c>
      <c r="R109" s="6" t="n">
        <v>1</v>
      </c>
      <c r="S109" s="5" t="n">
        <v>349.8</v>
      </c>
      <c r="T109" s="6">
        <f>H109+J109+L109+N109+P109+R109</f>
        <v/>
      </c>
    </row>
    <row r="110">
      <c r="A110" s="7" t="inlineStr">
        <is>
          <t>3.1.14</t>
        </is>
      </c>
      <c r="B110" s="15" t="inlineStr">
        <is>
          <t>Módulo Interruptor Paralelo (Three-Way) 10A</t>
        </is>
      </c>
      <c r="C110" s="7" t="inlineStr">
        <is>
          <t>Elétrica</t>
        </is>
      </c>
      <c r="D110" s="16" t="n">
        <v>8</v>
      </c>
      <c r="E110" s="7" t="inlineStr">
        <is>
          <t>unid</t>
        </is>
      </c>
      <c r="F110" s="8" t="n">
        <v>19.33</v>
      </c>
      <c r="G110" s="8" t="n">
        <v>154.64</v>
      </c>
      <c r="H110" s="9" t="n">
        <v>0</v>
      </c>
      <c r="I110" s="8" t="n">
        <v>0</v>
      </c>
      <c r="J110" s="9" t="n">
        <v>0</v>
      </c>
      <c r="K110" s="8" t="n">
        <v>0</v>
      </c>
      <c r="L110" s="9" t="n">
        <v>0</v>
      </c>
      <c r="M110" s="8" t="n">
        <v>0</v>
      </c>
      <c r="N110" s="9" t="n">
        <v>0</v>
      </c>
      <c r="O110" s="8" t="n">
        <v>0</v>
      </c>
      <c r="P110" s="9" t="n">
        <v>0</v>
      </c>
      <c r="Q110" s="8" t="n">
        <v>0</v>
      </c>
      <c r="R110" s="9" t="n">
        <v>1</v>
      </c>
      <c r="S110" s="8" t="n">
        <v>154.64</v>
      </c>
      <c r="T110" s="9">
        <f>H110+J110+L110+N110+P110+R110</f>
        <v/>
      </c>
    </row>
    <row r="111">
      <c r="A111" s="4" t="inlineStr">
        <is>
          <t>3.1.15</t>
        </is>
      </c>
      <c r="B111" s="13" t="inlineStr">
        <is>
          <t>Cabo UTP Cat6 LSZH 4 Pares (Dados/Voz)</t>
        </is>
      </c>
      <c r="C111" s="4" t="inlineStr">
        <is>
          <t>Telecom</t>
        </is>
      </c>
      <c r="D111" s="14" t="n">
        <v>1450</v>
      </c>
      <c r="E111" s="4" t="inlineStr">
        <is>
          <t>m</t>
        </is>
      </c>
      <c r="F111" s="5" t="n">
        <v>11.94</v>
      </c>
      <c r="G111" s="5" t="n">
        <v>17313</v>
      </c>
      <c r="H111" s="6" t="n">
        <v>0</v>
      </c>
      <c r="I111" s="5" t="n">
        <v>0</v>
      </c>
      <c r="J111" s="6" t="n">
        <v>0</v>
      </c>
      <c r="K111" s="5" t="n">
        <v>0</v>
      </c>
      <c r="L111" s="6" t="n">
        <v>0</v>
      </c>
      <c r="M111" s="5" t="n">
        <v>0</v>
      </c>
      <c r="N111" s="6" t="n">
        <v>0</v>
      </c>
      <c r="O111" s="5" t="n">
        <v>0</v>
      </c>
      <c r="P111" s="6" t="n">
        <v>1</v>
      </c>
      <c r="Q111" s="5" t="n">
        <v>17313</v>
      </c>
      <c r="R111" s="6" t="n">
        <v>0</v>
      </c>
      <c r="S111" s="5" t="n">
        <v>0</v>
      </c>
      <c r="T111" s="6">
        <f>H111+J111+L111+N111+P111+R111</f>
        <v/>
      </c>
    </row>
    <row r="112">
      <c r="A112" s="7" t="inlineStr">
        <is>
          <t>3.1.16</t>
        </is>
      </c>
      <c r="B112" s="15" t="inlineStr">
        <is>
          <t>Módulo Tomada RJ45 Cat6 Keystone</t>
        </is>
      </c>
      <c r="C112" s="7" t="inlineStr">
        <is>
          <t>Telecom</t>
        </is>
      </c>
      <c r="D112" s="16" t="n">
        <v>36</v>
      </c>
      <c r="E112" s="7" t="inlineStr">
        <is>
          <t>unid</t>
        </is>
      </c>
      <c r="F112" s="8" t="n">
        <v>49.79</v>
      </c>
      <c r="G112" s="8" t="n">
        <v>1792.44</v>
      </c>
      <c r="H112" s="9" t="n">
        <v>0</v>
      </c>
      <c r="I112" s="8" t="n">
        <v>0</v>
      </c>
      <c r="J112" s="9" t="n">
        <v>0</v>
      </c>
      <c r="K112" s="8" t="n">
        <v>0</v>
      </c>
      <c r="L112" s="9" t="n">
        <v>0</v>
      </c>
      <c r="M112" s="8" t="n">
        <v>0</v>
      </c>
      <c r="N112" s="9" t="n">
        <v>0</v>
      </c>
      <c r="O112" s="8" t="n">
        <v>0</v>
      </c>
      <c r="P112" s="9" t="n">
        <v>0</v>
      </c>
      <c r="Q112" s="8" t="n">
        <v>0</v>
      </c>
      <c r="R112" s="9" t="n">
        <v>1</v>
      </c>
      <c r="S112" s="8" t="n">
        <v>1792.44</v>
      </c>
      <c r="T112" s="9">
        <f>H112+J112+L112+N112+P112+R112</f>
        <v/>
      </c>
    </row>
    <row r="113">
      <c r="A113" s="4" t="inlineStr">
        <is>
          <t>3.1.17</t>
        </is>
      </c>
      <c r="B113" s="13" t="inlineStr">
        <is>
          <t>Rack Metalico Telecom 19" 12U de Parede</t>
        </is>
      </c>
      <c r="C113" s="4" t="inlineStr">
        <is>
          <t>Telecom</t>
        </is>
      </c>
      <c r="D113" s="14" t="n">
        <v>1</v>
      </c>
      <c r="E113" s="4" t="inlineStr">
        <is>
          <t>unid</t>
        </is>
      </c>
      <c r="F113" s="5" t="n">
        <v>862.5</v>
      </c>
      <c r="G113" s="5" t="n">
        <v>862.5</v>
      </c>
      <c r="H113" s="6" t="n">
        <v>0</v>
      </c>
      <c r="I113" s="5" t="n">
        <v>0</v>
      </c>
      <c r="J113" s="6" t="n">
        <v>0</v>
      </c>
      <c r="K113" s="5" t="n">
        <v>0</v>
      </c>
      <c r="L113" s="6" t="n">
        <v>0</v>
      </c>
      <c r="M113" s="5" t="n">
        <v>0</v>
      </c>
      <c r="N113" s="6" t="n">
        <v>0</v>
      </c>
      <c r="O113" s="5" t="n">
        <v>0</v>
      </c>
      <c r="P113" s="6" t="n">
        <v>0</v>
      </c>
      <c r="Q113" s="5" t="n">
        <v>0</v>
      </c>
      <c r="R113" s="6" t="n">
        <v>1</v>
      </c>
      <c r="S113" s="5" t="n">
        <v>862.5</v>
      </c>
      <c r="T113" s="6">
        <f>H113+J113+L113+N113+P113+R113</f>
        <v/>
      </c>
    </row>
    <row r="114">
      <c r="A114" s="7" t="inlineStr">
        <is>
          <t>3.1.18</t>
        </is>
      </c>
      <c r="B114" s="15" t="inlineStr">
        <is>
          <t>Patch Panel 24 Portas Cat6 19"</t>
        </is>
      </c>
      <c r="C114" s="7" t="inlineStr">
        <is>
          <t>Telecom</t>
        </is>
      </c>
      <c r="D114" s="16" t="n">
        <v>2</v>
      </c>
      <c r="E114" s="7" t="inlineStr">
        <is>
          <t>unid</t>
        </is>
      </c>
      <c r="F114" s="8" t="n">
        <v>1331.45</v>
      </c>
      <c r="G114" s="8" t="n">
        <v>2662.9</v>
      </c>
      <c r="H114" s="9" t="n">
        <v>0</v>
      </c>
      <c r="I114" s="8" t="n">
        <v>0</v>
      </c>
      <c r="J114" s="9" t="n">
        <v>0</v>
      </c>
      <c r="K114" s="8" t="n">
        <v>0</v>
      </c>
      <c r="L114" s="9" t="n">
        <v>0</v>
      </c>
      <c r="M114" s="8" t="n">
        <v>0</v>
      </c>
      <c r="N114" s="9" t="n">
        <v>0</v>
      </c>
      <c r="O114" s="8" t="n">
        <v>0</v>
      </c>
      <c r="P114" s="9" t="n">
        <v>0</v>
      </c>
      <c r="Q114" s="8" t="n">
        <v>0</v>
      </c>
      <c r="R114" s="9" t="n">
        <v>1</v>
      </c>
      <c r="S114" s="8" t="n">
        <v>2662.9</v>
      </c>
      <c r="T114" s="9">
        <f>H114+J114+L114+N114+P114+R114</f>
        <v/>
      </c>
    </row>
    <row r="115">
      <c r="A115" s="4" t="inlineStr">
        <is>
          <t>3.1.19</t>
        </is>
      </c>
      <c r="B115" s="13" t="inlineStr">
        <is>
          <t>Switch Gigabit Ethernet 24 Portas PoE</t>
        </is>
      </c>
      <c r="C115" s="4" t="inlineStr">
        <is>
          <t>Telecom</t>
        </is>
      </c>
      <c r="D115" s="14" t="n">
        <v>1</v>
      </c>
      <c r="E115" s="4" t="inlineStr">
        <is>
          <t>unid</t>
        </is>
      </c>
      <c r="F115" s="5" t="n">
        <v>2817.5</v>
      </c>
      <c r="G115" s="5" t="n">
        <v>2817.5</v>
      </c>
      <c r="H115" s="6" t="n">
        <v>0</v>
      </c>
      <c r="I115" s="5" t="n">
        <v>0</v>
      </c>
      <c r="J115" s="6" t="n">
        <v>0</v>
      </c>
      <c r="K115" s="5" t="n">
        <v>0</v>
      </c>
      <c r="L115" s="6" t="n">
        <v>0</v>
      </c>
      <c r="M115" s="5" t="n">
        <v>0</v>
      </c>
      <c r="N115" s="6" t="n">
        <v>0</v>
      </c>
      <c r="O115" s="5" t="n">
        <v>0</v>
      </c>
      <c r="P115" s="6" t="n">
        <v>0</v>
      </c>
      <c r="Q115" s="5" t="n">
        <v>0</v>
      </c>
      <c r="R115" s="6" t="n">
        <v>1</v>
      </c>
      <c r="S115" s="5" t="n">
        <v>2817.5</v>
      </c>
      <c r="T115" s="6">
        <f>H115+J115+L115+N115+P115+R115</f>
        <v/>
      </c>
    </row>
    <row r="116">
      <c r="A116" s="7" t="inlineStr">
        <is>
          <t>3.1.20</t>
        </is>
      </c>
      <c r="B116" s="15" t="inlineStr">
        <is>
          <t>Quadro Geral de Distribuição QDG 150A Trifásico</t>
        </is>
      </c>
      <c r="C116" s="7" t="inlineStr">
        <is>
          <t>Elétrica</t>
        </is>
      </c>
      <c r="D116" s="16" t="n">
        <v>1</v>
      </c>
      <c r="E116" s="7" t="inlineStr">
        <is>
          <t>unid</t>
        </is>
      </c>
      <c r="F116" s="8" t="n">
        <v>1080.94</v>
      </c>
      <c r="G116" s="8" t="n">
        <v>1080.94</v>
      </c>
      <c r="H116" s="9" t="n">
        <v>0</v>
      </c>
      <c r="I116" s="8" t="n">
        <v>0</v>
      </c>
      <c r="J116" s="9" t="n">
        <v>0</v>
      </c>
      <c r="K116" s="8" t="n">
        <v>0</v>
      </c>
      <c r="L116" s="9" t="n">
        <v>0</v>
      </c>
      <c r="M116" s="8" t="n">
        <v>0</v>
      </c>
      <c r="N116" s="9" t="n">
        <v>1</v>
      </c>
      <c r="O116" s="8" t="n">
        <v>1080.94</v>
      </c>
      <c r="P116" s="9" t="n">
        <v>0</v>
      </c>
      <c r="Q116" s="8" t="n">
        <v>0</v>
      </c>
      <c r="R116" s="9" t="n">
        <v>0</v>
      </c>
      <c r="S116" s="8" t="n">
        <v>0</v>
      </c>
      <c r="T116" s="9">
        <f>H116+J116+L116+N116+P116+R116</f>
        <v/>
      </c>
    </row>
    <row r="117">
      <c r="A117" s="4" t="inlineStr">
        <is>
          <t>3.1.21</t>
        </is>
      </c>
      <c r="B117" s="13" t="inlineStr">
        <is>
          <t>Quadro de Distribuição de Luz QDF 24 Elementos embutir</t>
        </is>
      </c>
      <c r="C117" s="4" t="inlineStr">
        <is>
          <t>Elétrica</t>
        </is>
      </c>
      <c r="D117" s="14" t="n">
        <v>2</v>
      </c>
      <c r="E117" s="4" t="inlineStr">
        <is>
          <t>unid</t>
        </is>
      </c>
      <c r="F117" s="5" t="n">
        <v>805.79</v>
      </c>
      <c r="G117" s="5" t="n">
        <v>1611.58</v>
      </c>
      <c r="H117" s="6" t="n">
        <v>0</v>
      </c>
      <c r="I117" s="5" t="n">
        <v>0</v>
      </c>
      <c r="J117" s="6" t="n">
        <v>0</v>
      </c>
      <c r="K117" s="5" t="n">
        <v>0</v>
      </c>
      <c r="L117" s="6" t="n">
        <v>0</v>
      </c>
      <c r="M117" s="5" t="n">
        <v>0</v>
      </c>
      <c r="N117" s="6" t="n">
        <v>1</v>
      </c>
      <c r="O117" s="5" t="n">
        <v>1611.58</v>
      </c>
      <c r="P117" s="6" t="n">
        <v>0</v>
      </c>
      <c r="Q117" s="5" t="n">
        <v>0</v>
      </c>
      <c r="R117" s="6" t="n">
        <v>0</v>
      </c>
      <c r="S117" s="5" t="n">
        <v>0</v>
      </c>
      <c r="T117" s="6">
        <f>H117+J117+L117+N117+P117+R117</f>
        <v/>
      </c>
    </row>
    <row r="118">
      <c r="A118" s="7" t="inlineStr">
        <is>
          <t>3.1.22</t>
        </is>
      </c>
      <c r="B118" s="15" t="inlineStr">
        <is>
          <t>Disjuntor Geral Caixa Moldada 150A Trifásico</t>
        </is>
      </c>
      <c r="C118" s="7" t="inlineStr">
        <is>
          <t>Elétrica</t>
        </is>
      </c>
      <c r="D118" s="16" t="n">
        <v>1</v>
      </c>
      <c r="E118" s="7" t="inlineStr">
        <is>
          <t>unid</t>
        </is>
      </c>
      <c r="F118" s="8" t="n">
        <v>534.11</v>
      </c>
      <c r="G118" s="8" t="n">
        <v>534.11</v>
      </c>
      <c r="H118" s="9" t="n">
        <v>0</v>
      </c>
      <c r="I118" s="8" t="n">
        <v>0</v>
      </c>
      <c r="J118" s="9" t="n">
        <v>0</v>
      </c>
      <c r="K118" s="8" t="n">
        <v>0</v>
      </c>
      <c r="L118" s="9" t="n">
        <v>0</v>
      </c>
      <c r="M118" s="8" t="n">
        <v>0</v>
      </c>
      <c r="N118" s="9" t="n">
        <v>0</v>
      </c>
      <c r="O118" s="8" t="n">
        <v>0</v>
      </c>
      <c r="P118" s="9" t="n">
        <v>0</v>
      </c>
      <c r="Q118" s="8" t="n">
        <v>0</v>
      </c>
      <c r="R118" s="9" t="n">
        <v>1</v>
      </c>
      <c r="S118" s="8" t="n">
        <v>534.11</v>
      </c>
      <c r="T118" s="9">
        <f>H118+J118+L118+N118+P118+R118</f>
        <v/>
      </c>
    </row>
    <row r="119">
      <c r="A119" s="4" t="inlineStr">
        <is>
          <t>3.1.23</t>
        </is>
      </c>
      <c r="B119" s="13" t="inlineStr">
        <is>
          <t>Disjuntor Termomagnético DIN Monopolar 10A/16A/20A</t>
        </is>
      </c>
      <c r="C119" s="4" t="inlineStr">
        <is>
          <t>Elétrica</t>
        </is>
      </c>
      <c r="D119" s="14" t="n">
        <v>28</v>
      </c>
      <c r="E119" s="4" t="inlineStr">
        <is>
          <t>unid</t>
        </is>
      </c>
      <c r="F119" s="5" t="n">
        <v>24.04</v>
      </c>
      <c r="G119" s="5" t="n">
        <v>673.12</v>
      </c>
      <c r="H119" s="6" t="n">
        <v>0</v>
      </c>
      <c r="I119" s="5" t="n">
        <v>0</v>
      </c>
      <c r="J119" s="6" t="n">
        <v>0</v>
      </c>
      <c r="K119" s="5" t="n">
        <v>0</v>
      </c>
      <c r="L119" s="6" t="n">
        <v>0</v>
      </c>
      <c r="M119" s="5" t="n">
        <v>0</v>
      </c>
      <c r="N119" s="6" t="n">
        <v>0</v>
      </c>
      <c r="O119" s="5" t="n">
        <v>0</v>
      </c>
      <c r="P119" s="6" t="n">
        <v>0</v>
      </c>
      <c r="Q119" s="5" t="n">
        <v>0</v>
      </c>
      <c r="R119" s="6" t="n">
        <v>1</v>
      </c>
      <c r="S119" s="5" t="n">
        <v>673.12</v>
      </c>
      <c r="T119" s="6">
        <f>H119+J119+L119+N119+P119+R119</f>
        <v/>
      </c>
    </row>
    <row r="120">
      <c r="A120" s="7" t="inlineStr">
        <is>
          <t>3.1.24</t>
        </is>
      </c>
      <c r="B120" s="15" t="inlineStr">
        <is>
          <t>Disjuntor Termomagnético DIN Bipolar/Tripolar 25A/32A</t>
        </is>
      </c>
      <c r="C120" s="7" t="inlineStr">
        <is>
          <t>Elétrica</t>
        </is>
      </c>
      <c r="D120" s="16" t="n">
        <v>18</v>
      </c>
      <c r="E120" s="7" t="inlineStr">
        <is>
          <t>unid</t>
        </is>
      </c>
      <c r="F120" s="8" t="n">
        <v>66.13</v>
      </c>
      <c r="G120" s="8" t="n">
        <v>1190.34</v>
      </c>
      <c r="H120" s="9" t="n">
        <v>0</v>
      </c>
      <c r="I120" s="8" t="n">
        <v>0</v>
      </c>
      <c r="J120" s="9" t="n">
        <v>0</v>
      </c>
      <c r="K120" s="8" t="n">
        <v>0</v>
      </c>
      <c r="L120" s="9" t="n">
        <v>0</v>
      </c>
      <c r="M120" s="8" t="n">
        <v>0</v>
      </c>
      <c r="N120" s="9" t="n">
        <v>0</v>
      </c>
      <c r="O120" s="8" t="n">
        <v>0</v>
      </c>
      <c r="P120" s="9" t="n">
        <v>0</v>
      </c>
      <c r="Q120" s="8" t="n">
        <v>0</v>
      </c>
      <c r="R120" s="9" t="n">
        <v>1</v>
      </c>
      <c r="S120" s="8" t="n">
        <v>1190.34</v>
      </c>
      <c r="T120" s="9">
        <f>H120+J120+L120+N120+P120+R120</f>
        <v/>
      </c>
    </row>
    <row r="121">
      <c r="A121" s="4" t="inlineStr">
        <is>
          <t>3.1.25</t>
        </is>
      </c>
      <c r="B121" s="13" t="inlineStr">
        <is>
          <t>Interruptor Diferencial Residual DR Tetrapolar 40A 30mA</t>
        </is>
      </c>
      <c r="C121" s="4" t="inlineStr">
        <is>
          <t>Elétrica</t>
        </is>
      </c>
      <c r="D121" s="14" t="n">
        <v>4</v>
      </c>
      <c r="E121" s="4" t="inlineStr">
        <is>
          <t>unid</t>
        </is>
      </c>
      <c r="F121" s="5" t="n">
        <v>209.83</v>
      </c>
      <c r="G121" s="5" t="n">
        <v>839.3200000000001</v>
      </c>
      <c r="H121" s="6" t="n">
        <v>0</v>
      </c>
      <c r="I121" s="5" t="n">
        <v>0</v>
      </c>
      <c r="J121" s="6" t="n">
        <v>0</v>
      </c>
      <c r="K121" s="5" t="n">
        <v>0</v>
      </c>
      <c r="L121" s="6" t="n">
        <v>0</v>
      </c>
      <c r="M121" s="5" t="n">
        <v>0</v>
      </c>
      <c r="N121" s="6" t="n">
        <v>0</v>
      </c>
      <c r="O121" s="5" t="n">
        <v>0</v>
      </c>
      <c r="P121" s="6" t="n">
        <v>0</v>
      </c>
      <c r="Q121" s="5" t="n">
        <v>0</v>
      </c>
      <c r="R121" s="6" t="n">
        <v>1</v>
      </c>
      <c r="S121" s="5" t="n">
        <v>839.3200000000001</v>
      </c>
      <c r="T121" s="6">
        <f>H121+J121+L121+N121+P121+R121</f>
        <v/>
      </c>
    </row>
    <row r="122">
      <c r="A122" s="7" t="inlineStr">
        <is>
          <t>3.1.26</t>
        </is>
      </c>
      <c r="B122" s="15" t="inlineStr">
        <is>
          <t>Dispositivo de Proteção contra Surtos DPS 20kA 275V</t>
        </is>
      </c>
      <c r="C122" s="7" t="inlineStr">
        <is>
          <t>Elétrica</t>
        </is>
      </c>
      <c r="D122" s="16" t="n">
        <v>8</v>
      </c>
      <c r="E122" s="7" t="inlineStr">
        <is>
          <t>unid</t>
        </is>
      </c>
      <c r="F122" s="8" t="n">
        <v>86.48</v>
      </c>
      <c r="G122" s="8" t="n">
        <v>691.84</v>
      </c>
      <c r="H122" s="9" t="n">
        <v>0</v>
      </c>
      <c r="I122" s="8" t="n">
        <v>0</v>
      </c>
      <c r="J122" s="9" t="n">
        <v>0</v>
      </c>
      <c r="K122" s="8" t="n">
        <v>0</v>
      </c>
      <c r="L122" s="9" t="n">
        <v>0</v>
      </c>
      <c r="M122" s="8" t="n">
        <v>0</v>
      </c>
      <c r="N122" s="9" t="n">
        <v>0</v>
      </c>
      <c r="O122" s="8" t="n">
        <v>0</v>
      </c>
      <c r="P122" s="9" t="n">
        <v>0</v>
      </c>
      <c r="Q122" s="8" t="n">
        <v>0</v>
      </c>
      <c r="R122" s="9" t="n">
        <v>1</v>
      </c>
      <c r="S122" s="8" t="n">
        <v>691.84</v>
      </c>
      <c r="T122" s="9">
        <f>H122+J122+L122+N122+P122+R122</f>
        <v/>
      </c>
    </row>
    <row r="123">
      <c r="A123" s="4" t="inlineStr">
        <is>
          <t>3.1.27</t>
        </is>
      </c>
      <c r="B123" s="13" t="inlineStr">
        <is>
          <t>Painel LED Embutir 60x60cm 40W 4000K</t>
        </is>
      </c>
      <c r="C123" s="4" t="inlineStr">
        <is>
          <t>Elétrica</t>
        </is>
      </c>
      <c r="D123" s="14" t="n">
        <v>68</v>
      </c>
      <c r="E123" s="4" t="inlineStr">
        <is>
          <t>unid</t>
        </is>
      </c>
      <c r="F123" s="5" t="n">
        <v>99.83</v>
      </c>
      <c r="G123" s="5" t="n">
        <v>6788.44</v>
      </c>
      <c r="H123" s="6" t="n">
        <v>0</v>
      </c>
      <c r="I123" s="5" t="n">
        <v>0</v>
      </c>
      <c r="J123" s="6" t="n">
        <v>0</v>
      </c>
      <c r="K123" s="5" t="n">
        <v>0</v>
      </c>
      <c r="L123" s="6" t="n">
        <v>0</v>
      </c>
      <c r="M123" s="5" t="n">
        <v>0</v>
      </c>
      <c r="N123" s="6" t="n">
        <v>0</v>
      </c>
      <c r="O123" s="5" t="n">
        <v>0</v>
      </c>
      <c r="P123" s="6" t="n">
        <v>0</v>
      </c>
      <c r="Q123" s="5" t="n">
        <v>0</v>
      </c>
      <c r="R123" s="6" t="n">
        <v>1</v>
      </c>
      <c r="S123" s="5" t="n">
        <v>6788.44</v>
      </c>
      <c r="T123" s="6">
        <f>H123+J123+L123+N123+P123+R123</f>
        <v/>
      </c>
    </row>
    <row r="124">
      <c r="A124" s="7" t="inlineStr">
        <is>
          <t>3.1.28</t>
        </is>
      </c>
      <c r="B124" s="15" t="inlineStr">
        <is>
          <t>Luminária Hermética LED 2x18W IP65 (Áreas Técnicas)</t>
        </is>
      </c>
      <c r="C124" s="7" t="inlineStr">
        <is>
          <t>Elétrica</t>
        </is>
      </c>
      <c r="D124" s="16" t="n">
        <v>16</v>
      </c>
      <c r="E124" s="7" t="inlineStr">
        <is>
          <t>unid</t>
        </is>
      </c>
      <c r="F124" s="8" t="n">
        <v>146.25</v>
      </c>
      <c r="G124" s="8" t="n">
        <v>2340</v>
      </c>
      <c r="H124" s="9" t="n">
        <v>0</v>
      </c>
      <c r="I124" s="8" t="n">
        <v>0</v>
      </c>
      <c r="J124" s="9" t="n">
        <v>0</v>
      </c>
      <c r="K124" s="8" t="n">
        <v>0</v>
      </c>
      <c r="L124" s="9" t="n">
        <v>0</v>
      </c>
      <c r="M124" s="8" t="n">
        <v>0</v>
      </c>
      <c r="N124" s="9" t="n">
        <v>0</v>
      </c>
      <c r="O124" s="8" t="n">
        <v>0</v>
      </c>
      <c r="P124" s="9" t="n">
        <v>0</v>
      </c>
      <c r="Q124" s="8" t="n">
        <v>0</v>
      </c>
      <c r="R124" s="9" t="n">
        <v>1</v>
      </c>
      <c r="S124" s="8" t="n">
        <v>2340</v>
      </c>
      <c r="T124" s="9">
        <f>H124+J124+L124+N124+P124+R124</f>
        <v/>
      </c>
    </row>
    <row r="125">
      <c r="A125" s="4" t="inlineStr">
        <is>
          <t>3.1.29</t>
        </is>
      </c>
      <c r="B125" s="13" t="inlineStr">
        <is>
          <t>Bloco Iluminação de Emergência LED 2x8W c/ Bateria</t>
        </is>
      </c>
      <c r="C125" s="4" t="inlineStr">
        <is>
          <t>Elétrica</t>
        </is>
      </c>
      <c r="D125" s="14" t="n">
        <v>14</v>
      </c>
      <c r="E125" s="4" t="inlineStr">
        <is>
          <t>unid</t>
        </is>
      </c>
      <c r="F125" s="5" t="n">
        <v>78.84999999999999</v>
      </c>
      <c r="G125" s="5" t="n">
        <v>1103.9</v>
      </c>
      <c r="H125" s="6" t="n">
        <v>0</v>
      </c>
      <c r="I125" s="5" t="n">
        <v>0</v>
      </c>
      <c r="J125" s="6" t="n">
        <v>0</v>
      </c>
      <c r="K125" s="5" t="n">
        <v>0</v>
      </c>
      <c r="L125" s="6" t="n">
        <v>0</v>
      </c>
      <c r="M125" s="5" t="n">
        <v>0</v>
      </c>
      <c r="N125" s="6" t="n">
        <v>0</v>
      </c>
      <c r="O125" s="5" t="n">
        <v>0</v>
      </c>
      <c r="P125" s="6" t="n">
        <v>0</v>
      </c>
      <c r="Q125" s="5" t="n">
        <v>0</v>
      </c>
      <c r="R125" s="6" t="n">
        <v>1</v>
      </c>
      <c r="S125" s="5" t="n">
        <v>1103.9</v>
      </c>
      <c r="T125" s="6">
        <f>H125+J125+L125+N125+P125+R125</f>
        <v/>
      </c>
    </row>
    <row r="126">
      <c r="A126" s="7" t="inlineStr">
        <is>
          <t>3.1.30</t>
        </is>
      </c>
      <c r="B126" s="15" t="inlineStr">
        <is>
          <t>Haste de Aterramento Copperweld 3/4" x 3,00m + Malha</t>
        </is>
      </c>
      <c r="C126" s="7" t="inlineStr">
        <is>
          <t>Elétrica</t>
        </is>
      </c>
      <c r="D126" s="16" t="n">
        <v>6</v>
      </c>
      <c r="E126" s="7" t="inlineStr">
        <is>
          <t>unid</t>
        </is>
      </c>
      <c r="F126" s="8" t="n">
        <v>184.4</v>
      </c>
      <c r="G126" s="8" t="n">
        <v>1106.4</v>
      </c>
      <c r="H126" s="9" t="n">
        <v>0</v>
      </c>
      <c r="I126" s="8" t="n">
        <v>0</v>
      </c>
      <c r="J126" s="9" t="n">
        <v>0</v>
      </c>
      <c r="K126" s="8" t="n">
        <v>0</v>
      </c>
      <c r="L126" s="9" t="n">
        <v>0</v>
      </c>
      <c r="M126" s="8" t="n">
        <v>0</v>
      </c>
      <c r="N126" s="9" t="n">
        <v>1</v>
      </c>
      <c r="O126" s="8" t="n">
        <v>1106.4</v>
      </c>
      <c r="P126" s="9" t="n">
        <v>0</v>
      </c>
      <c r="Q126" s="8" t="n">
        <v>0</v>
      </c>
      <c r="R126" s="9" t="n">
        <v>0</v>
      </c>
      <c r="S126" s="8" t="n">
        <v>0</v>
      </c>
      <c r="T126" s="9">
        <f>H126+J126+L126+N126+P126+R126</f>
        <v/>
      </c>
    </row>
    <row r="127">
      <c r="A127" s="4" t="inlineStr">
        <is>
          <t>3.2.1</t>
        </is>
      </c>
      <c r="B127" s="13" t="inlineStr">
        <is>
          <t>Tubo PVC Soldável Água Fria Ø25mm (3/4")</t>
        </is>
      </c>
      <c r="C127" s="4" t="inlineStr">
        <is>
          <t>Hidráulica</t>
        </is>
      </c>
      <c r="D127" s="14" t="n">
        <v>180</v>
      </c>
      <c r="E127" s="4" t="inlineStr">
        <is>
          <t>m</t>
        </is>
      </c>
      <c r="F127" s="5" t="n">
        <v>11.38</v>
      </c>
      <c r="G127" s="5" t="n">
        <v>2048.4</v>
      </c>
      <c r="H127" s="6" t="n">
        <v>0</v>
      </c>
      <c r="I127" s="5" t="n">
        <v>0</v>
      </c>
      <c r="J127" s="6" t="n">
        <v>0</v>
      </c>
      <c r="K127" s="5" t="n">
        <v>0</v>
      </c>
      <c r="L127" s="6" t="n">
        <v>0</v>
      </c>
      <c r="M127" s="5" t="n">
        <v>0</v>
      </c>
      <c r="N127" s="6" t="n">
        <v>1</v>
      </c>
      <c r="O127" s="5" t="n">
        <v>2048.4</v>
      </c>
      <c r="P127" s="6" t="n">
        <v>0</v>
      </c>
      <c r="Q127" s="5" t="n">
        <v>0</v>
      </c>
      <c r="R127" s="6" t="n">
        <v>0</v>
      </c>
      <c r="S127" s="5" t="n">
        <v>0</v>
      </c>
      <c r="T127" s="6">
        <f>H127+J127+L127+N127+P127+R127</f>
        <v/>
      </c>
    </row>
    <row r="128">
      <c r="A128" s="7" t="inlineStr">
        <is>
          <t>3.2.2</t>
        </is>
      </c>
      <c r="B128" s="15" t="inlineStr">
        <is>
          <t>Tubo PVC Soldável Água Fria Ø50mm (1.1/2")</t>
        </is>
      </c>
      <c r="C128" s="7" t="inlineStr">
        <is>
          <t>Hidráulica</t>
        </is>
      </c>
      <c r="D128" s="16" t="n">
        <v>95</v>
      </c>
      <c r="E128" s="7" t="inlineStr">
        <is>
          <t>m</t>
        </is>
      </c>
      <c r="F128" s="8" t="n">
        <v>28.99</v>
      </c>
      <c r="G128" s="8" t="n">
        <v>2754.05</v>
      </c>
      <c r="H128" s="9" t="n">
        <v>0</v>
      </c>
      <c r="I128" s="8" t="n">
        <v>0</v>
      </c>
      <c r="J128" s="9" t="n">
        <v>0</v>
      </c>
      <c r="K128" s="8" t="n">
        <v>0</v>
      </c>
      <c r="L128" s="9" t="n">
        <v>0</v>
      </c>
      <c r="M128" s="8" t="n">
        <v>0</v>
      </c>
      <c r="N128" s="9" t="n">
        <v>1</v>
      </c>
      <c r="O128" s="8" t="n">
        <v>2754.05</v>
      </c>
      <c r="P128" s="9" t="n">
        <v>0</v>
      </c>
      <c r="Q128" s="8" t="n">
        <v>0</v>
      </c>
      <c r="R128" s="9" t="n">
        <v>0</v>
      </c>
      <c r="S128" s="8" t="n">
        <v>0</v>
      </c>
      <c r="T128" s="9">
        <f>H128+J128+L128+N128+P128+R128</f>
        <v/>
      </c>
    </row>
    <row r="129">
      <c r="A129" s="4" t="inlineStr">
        <is>
          <t>3.2.3</t>
        </is>
      </c>
      <c r="B129" s="13" t="inlineStr">
        <is>
          <t>Tubo PVC Esgoto Série Normal Ø40mm</t>
        </is>
      </c>
      <c r="C129" s="4" t="inlineStr">
        <is>
          <t>Hidráulica</t>
        </is>
      </c>
      <c r="D129" s="14" t="n">
        <v>64</v>
      </c>
      <c r="E129" s="4" t="inlineStr">
        <is>
          <t>m</t>
        </is>
      </c>
      <c r="F129" s="5" t="n">
        <v>15.9</v>
      </c>
      <c r="G129" s="5" t="n">
        <v>1017.6</v>
      </c>
      <c r="H129" s="6" t="n">
        <v>0</v>
      </c>
      <c r="I129" s="5" t="n">
        <v>0</v>
      </c>
      <c r="J129" s="6" t="n">
        <v>0</v>
      </c>
      <c r="K129" s="5" t="n">
        <v>0</v>
      </c>
      <c r="L129" s="6" t="n">
        <v>0</v>
      </c>
      <c r="M129" s="5" t="n">
        <v>0</v>
      </c>
      <c r="N129" s="6" t="n">
        <v>1</v>
      </c>
      <c r="O129" s="5" t="n">
        <v>1017.6</v>
      </c>
      <c r="P129" s="6" t="n">
        <v>0</v>
      </c>
      <c r="Q129" s="5" t="n">
        <v>0</v>
      </c>
      <c r="R129" s="6" t="n">
        <v>0</v>
      </c>
      <c r="S129" s="5" t="n">
        <v>0</v>
      </c>
      <c r="T129" s="6">
        <f>H129+J129+L129+N129+P129+R129</f>
        <v/>
      </c>
    </row>
    <row r="130">
      <c r="A130" s="7" t="inlineStr">
        <is>
          <t>3.2.4</t>
        </is>
      </c>
      <c r="B130" s="15" t="inlineStr">
        <is>
          <t>Tubo PVC Esgoto Série Normal Ø75mm</t>
        </is>
      </c>
      <c r="C130" s="7" t="inlineStr">
        <is>
          <t>Hidráulica</t>
        </is>
      </c>
      <c r="D130" s="16" t="n">
        <v>42</v>
      </c>
      <c r="E130" s="7" t="inlineStr">
        <is>
          <t>m</t>
        </is>
      </c>
      <c r="F130" s="8" t="n">
        <v>24.04</v>
      </c>
      <c r="G130" s="8" t="n">
        <v>1009.68</v>
      </c>
      <c r="H130" s="9" t="n">
        <v>0</v>
      </c>
      <c r="I130" s="8" t="n">
        <v>0</v>
      </c>
      <c r="J130" s="9" t="n">
        <v>0</v>
      </c>
      <c r="K130" s="8" t="n">
        <v>0</v>
      </c>
      <c r="L130" s="9" t="n">
        <v>0</v>
      </c>
      <c r="M130" s="8" t="n">
        <v>0</v>
      </c>
      <c r="N130" s="9" t="n">
        <v>1</v>
      </c>
      <c r="O130" s="8" t="n">
        <v>1009.68</v>
      </c>
      <c r="P130" s="9" t="n">
        <v>0</v>
      </c>
      <c r="Q130" s="8" t="n">
        <v>0</v>
      </c>
      <c r="R130" s="9" t="n">
        <v>0</v>
      </c>
      <c r="S130" s="8" t="n">
        <v>0</v>
      </c>
      <c r="T130" s="9">
        <f>H130+J130+L130+N130+P130+R130</f>
        <v/>
      </c>
    </row>
    <row r="131">
      <c r="A131" s="4" t="inlineStr">
        <is>
          <t>3.2.5</t>
        </is>
      </c>
      <c r="B131" s="13" t="inlineStr">
        <is>
          <t>Tubo PVC Esgoto Série Normal Ø100mm</t>
        </is>
      </c>
      <c r="C131" s="4" t="inlineStr">
        <is>
          <t>Hidráulica</t>
        </is>
      </c>
      <c r="D131" s="14" t="n">
        <v>140</v>
      </c>
      <c r="E131" s="4" t="inlineStr">
        <is>
          <t>m</t>
        </is>
      </c>
      <c r="F131" s="5" t="n">
        <v>33.74</v>
      </c>
      <c r="G131" s="5" t="n">
        <v>4723.6</v>
      </c>
      <c r="H131" s="6" t="n">
        <v>0</v>
      </c>
      <c r="I131" s="5" t="n">
        <v>0</v>
      </c>
      <c r="J131" s="6" t="n">
        <v>0</v>
      </c>
      <c r="K131" s="5" t="n">
        <v>0</v>
      </c>
      <c r="L131" s="6" t="n">
        <v>0</v>
      </c>
      <c r="M131" s="5" t="n">
        <v>0</v>
      </c>
      <c r="N131" s="6" t="n">
        <v>1</v>
      </c>
      <c r="O131" s="5" t="n">
        <v>4723.6</v>
      </c>
      <c r="P131" s="6" t="n">
        <v>0</v>
      </c>
      <c r="Q131" s="5" t="n">
        <v>0</v>
      </c>
      <c r="R131" s="6" t="n">
        <v>0</v>
      </c>
      <c r="S131" s="5" t="n">
        <v>0</v>
      </c>
      <c r="T131" s="6">
        <f>H131+J131+L131+N131+P131+R131</f>
        <v/>
      </c>
    </row>
    <row r="132">
      <c r="A132" s="7" t="inlineStr">
        <is>
          <t>3.2.6</t>
        </is>
      </c>
      <c r="B132" s="15" t="inlineStr">
        <is>
          <t>Tubo PVC Pluvial Série Reforçada Ø150mm</t>
        </is>
      </c>
      <c r="C132" s="7" t="inlineStr">
        <is>
          <t>Hidráulica</t>
        </is>
      </c>
      <c r="D132" s="16" t="n">
        <v>110</v>
      </c>
      <c r="E132" s="7" t="inlineStr">
        <is>
          <t>m</t>
        </is>
      </c>
      <c r="F132" s="8" t="n">
        <v>53.41</v>
      </c>
      <c r="G132" s="8" t="n">
        <v>5875.1</v>
      </c>
      <c r="H132" s="9" t="n">
        <v>0</v>
      </c>
      <c r="I132" s="8" t="n">
        <v>0</v>
      </c>
      <c r="J132" s="9" t="n">
        <v>0</v>
      </c>
      <c r="K132" s="8" t="n">
        <v>0</v>
      </c>
      <c r="L132" s="9" t="n">
        <v>0</v>
      </c>
      <c r="M132" s="8" t="n">
        <v>0</v>
      </c>
      <c r="N132" s="9" t="n">
        <v>1</v>
      </c>
      <c r="O132" s="8" t="n">
        <v>5875.1</v>
      </c>
      <c r="P132" s="9" t="n">
        <v>0</v>
      </c>
      <c r="Q132" s="8" t="n">
        <v>0</v>
      </c>
      <c r="R132" s="9" t="n">
        <v>0</v>
      </c>
      <c r="S132" s="8" t="n">
        <v>0</v>
      </c>
      <c r="T132" s="9">
        <f>H132+J132+L132+N132+P132+R132</f>
        <v/>
      </c>
    </row>
    <row r="133">
      <c r="A133" s="4" t="inlineStr">
        <is>
          <t>3.2.7</t>
        </is>
      </c>
      <c r="B133" s="13" t="inlineStr">
        <is>
          <t>Joelho 90º PVC Soldável Ø25mm</t>
        </is>
      </c>
      <c r="C133" s="4" t="inlineStr">
        <is>
          <t>Hidráulica</t>
        </is>
      </c>
      <c r="D133" s="14" t="n">
        <v>86</v>
      </c>
      <c r="E133" s="4" t="inlineStr">
        <is>
          <t>unid</t>
        </is>
      </c>
      <c r="F133" s="5" t="n">
        <v>2.35</v>
      </c>
      <c r="G133" s="5" t="n">
        <v>202.1</v>
      </c>
      <c r="H133" s="6" t="n">
        <v>0</v>
      </c>
      <c r="I133" s="5" t="n">
        <v>0</v>
      </c>
      <c r="J133" s="6" t="n">
        <v>0</v>
      </c>
      <c r="K133" s="5" t="n">
        <v>0</v>
      </c>
      <c r="L133" s="6" t="n">
        <v>0</v>
      </c>
      <c r="M133" s="5" t="n">
        <v>0</v>
      </c>
      <c r="N133" s="6" t="n">
        <v>1</v>
      </c>
      <c r="O133" s="5" t="n">
        <v>202.1</v>
      </c>
      <c r="P133" s="6" t="n">
        <v>0</v>
      </c>
      <c r="Q133" s="5" t="n">
        <v>0</v>
      </c>
      <c r="R133" s="6" t="n">
        <v>0</v>
      </c>
      <c r="S133" s="5" t="n">
        <v>0</v>
      </c>
      <c r="T133" s="6">
        <f>H133+J133+L133+N133+P133+R133</f>
        <v/>
      </c>
    </row>
    <row r="134">
      <c r="A134" s="7" t="inlineStr">
        <is>
          <t>3.2.8</t>
        </is>
      </c>
      <c r="B134" s="15" t="inlineStr">
        <is>
          <t>Joelho 90º c/ Bucha de Latão Ø25mm x 1/2"</t>
        </is>
      </c>
      <c r="C134" s="7" t="inlineStr">
        <is>
          <t>Hidráulica</t>
        </is>
      </c>
      <c r="D134" s="16" t="n">
        <v>32</v>
      </c>
      <c r="E134" s="7" t="inlineStr">
        <is>
          <t>unid</t>
        </is>
      </c>
      <c r="F134" s="8" t="n">
        <v>6.61</v>
      </c>
      <c r="G134" s="8" t="n">
        <v>211.52</v>
      </c>
      <c r="H134" s="9" t="n">
        <v>0</v>
      </c>
      <c r="I134" s="8" t="n">
        <v>0</v>
      </c>
      <c r="J134" s="9" t="n">
        <v>0</v>
      </c>
      <c r="K134" s="8" t="n">
        <v>0</v>
      </c>
      <c r="L134" s="9" t="n">
        <v>0</v>
      </c>
      <c r="M134" s="8" t="n">
        <v>0</v>
      </c>
      <c r="N134" s="9" t="n">
        <v>1</v>
      </c>
      <c r="O134" s="8" t="n">
        <v>211.52</v>
      </c>
      <c r="P134" s="9" t="n">
        <v>0</v>
      </c>
      <c r="Q134" s="8" t="n">
        <v>0</v>
      </c>
      <c r="R134" s="9" t="n">
        <v>0</v>
      </c>
      <c r="S134" s="8" t="n">
        <v>0</v>
      </c>
      <c r="T134" s="9">
        <f>H134+J134+L134+N134+P134+R134</f>
        <v/>
      </c>
    </row>
    <row r="135">
      <c r="A135" s="4" t="inlineStr">
        <is>
          <t>3.2.9</t>
        </is>
      </c>
      <c r="B135" s="13" t="inlineStr">
        <is>
          <t>Joelho 90º PVC Soldável Ø50mm</t>
        </is>
      </c>
      <c r="C135" s="4" t="inlineStr">
        <is>
          <t>Hidráulica</t>
        </is>
      </c>
      <c r="D135" s="14" t="n">
        <v>24</v>
      </c>
      <c r="E135" s="4" t="inlineStr">
        <is>
          <t>unid</t>
        </is>
      </c>
      <c r="F135" s="5" t="n">
        <v>8.65</v>
      </c>
      <c r="G135" s="5" t="n">
        <v>207.6</v>
      </c>
      <c r="H135" s="6" t="n">
        <v>0</v>
      </c>
      <c r="I135" s="5" t="n">
        <v>0</v>
      </c>
      <c r="J135" s="6" t="n">
        <v>0</v>
      </c>
      <c r="K135" s="5" t="n">
        <v>0</v>
      </c>
      <c r="L135" s="6" t="n">
        <v>0</v>
      </c>
      <c r="M135" s="5" t="n">
        <v>0</v>
      </c>
      <c r="N135" s="6" t="n">
        <v>1</v>
      </c>
      <c r="O135" s="5" t="n">
        <v>207.6</v>
      </c>
      <c r="P135" s="6" t="n">
        <v>0</v>
      </c>
      <c r="Q135" s="5" t="n">
        <v>0</v>
      </c>
      <c r="R135" s="6" t="n">
        <v>0</v>
      </c>
      <c r="S135" s="5" t="n">
        <v>0</v>
      </c>
      <c r="T135" s="6">
        <f>H135+J135+L135+N135+P135+R135</f>
        <v/>
      </c>
    </row>
    <row r="136">
      <c r="A136" s="7" t="inlineStr">
        <is>
          <t>3.2.10</t>
        </is>
      </c>
      <c r="B136" s="15" t="inlineStr">
        <is>
          <t>Tê 90º PVC Soldável Ø25mm</t>
        </is>
      </c>
      <c r="C136" s="7" t="inlineStr">
        <is>
          <t>Hidráulica</t>
        </is>
      </c>
      <c r="D136" s="16" t="n">
        <v>48</v>
      </c>
      <c r="E136" s="7" t="inlineStr">
        <is>
          <t>unid</t>
        </is>
      </c>
      <c r="F136" s="8" t="n">
        <v>3.69</v>
      </c>
      <c r="G136" s="8" t="n">
        <v>177.12</v>
      </c>
      <c r="H136" s="9" t="n">
        <v>0</v>
      </c>
      <c r="I136" s="8" t="n">
        <v>0</v>
      </c>
      <c r="J136" s="9" t="n">
        <v>0</v>
      </c>
      <c r="K136" s="8" t="n">
        <v>0</v>
      </c>
      <c r="L136" s="9" t="n">
        <v>0</v>
      </c>
      <c r="M136" s="8" t="n">
        <v>0</v>
      </c>
      <c r="N136" s="9" t="n">
        <v>1</v>
      </c>
      <c r="O136" s="8" t="n">
        <v>177.12</v>
      </c>
      <c r="P136" s="9" t="n">
        <v>0</v>
      </c>
      <c r="Q136" s="8" t="n">
        <v>0</v>
      </c>
      <c r="R136" s="9" t="n">
        <v>0</v>
      </c>
      <c r="S136" s="8" t="n">
        <v>0</v>
      </c>
      <c r="T136" s="9">
        <f>H136+J136+L136+N136+P136+R136</f>
        <v/>
      </c>
    </row>
    <row r="137">
      <c r="A137" s="4" t="inlineStr">
        <is>
          <t>3.2.11</t>
        </is>
      </c>
      <c r="B137" s="13" t="inlineStr">
        <is>
          <t>Tê 90º Redução PVC Soldável Ø50x25mm</t>
        </is>
      </c>
      <c r="C137" s="4" t="inlineStr">
        <is>
          <t>Hidráulica</t>
        </is>
      </c>
      <c r="D137" s="14" t="n">
        <v>18</v>
      </c>
      <c r="E137" s="4" t="inlineStr">
        <is>
          <t>unid</t>
        </is>
      </c>
      <c r="F137" s="5" t="n">
        <v>10.81</v>
      </c>
      <c r="G137" s="5" t="n">
        <v>194.58</v>
      </c>
      <c r="H137" s="6" t="n">
        <v>0</v>
      </c>
      <c r="I137" s="5" t="n">
        <v>0</v>
      </c>
      <c r="J137" s="6" t="n">
        <v>0</v>
      </c>
      <c r="K137" s="5" t="n">
        <v>0</v>
      </c>
      <c r="L137" s="6" t="n">
        <v>0</v>
      </c>
      <c r="M137" s="5" t="n">
        <v>0</v>
      </c>
      <c r="N137" s="6" t="n">
        <v>1</v>
      </c>
      <c r="O137" s="5" t="n">
        <v>194.58</v>
      </c>
      <c r="P137" s="6" t="n">
        <v>0</v>
      </c>
      <c r="Q137" s="5" t="n">
        <v>0</v>
      </c>
      <c r="R137" s="6" t="n">
        <v>0</v>
      </c>
      <c r="S137" s="5" t="n">
        <v>0</v>
      </c>
      <c r="T137" s="6">
        <f>H137+J137+L137+N137+P137+R137</f>
        <v/>
      </c>
    </row>
    <row r="138">
      <c r="A138" s="7" t="inlineStr">
        <is>
          <t>3.2.12</t>
        </is>
      </c>
      <c r="B138" s="15" t="inlineStr">
        <is>
          <t>Curva de Transposição PVC Soldável Ø25mm</t>
        </is>
      </c>
      <c r="C138" s="7" t="inlineStr">
        <is>
          <t>Hidráulica</t>
        </is>
      </c>
      <c r="D138" s="16" t="n">
        <v>14</v>
      </c>
      <c r="E138" s="7" t="inlineStr">
        <is>
          <t>unid</t>
        </is>
      </c>
      <c r="F138" s="8" t="n">
        <v>7.88</v>
      </c>
      <c r="G138" s="8" t="n">
        <v>110.32</v>
      </c>
      <c r="H138" s="9" t="n">
        <v>0</v>
      </c>
      <c r="I138" s="8" t="n">
        <v>0</v>
      </c>
      <c r="J138" s="9" t="n">
        <v>0</v>
      </c>
      <c r="K138" s="8" t="n">
        <v>0</v>
      </c>
      <c r="L138" s="9" t="n">
        <v>0</v>
      </c>
      <c r="M138" s="8" t="n">
        <v>0</v>
      </c>
      <c r="N138" s="9" t="n">
        <v>1</v>
      </c>
      <c r="O138" s="8" t="n">
        <v>110.32</v>
      </c>
      <c r="P138" s="9" t="n">
        <v>0</v>
      </c>
      <c r="Q138" s="8" t="n">
        <v>0</v>
      </c>
      <c r="R138" s="9" t="n">
        <v>0</v>
      </c>
      <c r="S138" s="8" t="n">
        <v>0</v>
      </c>
      <c r="T138" s="9">
        <f>H138+J138+L138+N138+P138+R138</f>
        <v/>
      </c>
    </row>
    <row r="139">
      <c r="A139" s="4" t="inlineStr">
        <is>
          <t>3.2.13</t>
        </is>
      </c>
      <c r="B139" s="13" t="inlineStr">
        <is>
          <t>Joelho 90º PVC Esgoto Ø100mm</t>
        </is>
      </c>
      <c r="C139" s="4" t="inlineStr">
        <is>
          <t>Hidráulica</t>
        </is>
      </c>
      <c r="D139" s="14" t="n">
        <v>36</v>
      </c>
      <c r="E139" s="4" t="inlineStr">
        <is>
          <t>unid</t>
        </is>
      </c>
      <c r="F139" s="5" t="n">
        <v>11.95</v>
      </c>
      <c r="G139" s="5" t="n">
        <v>430.2</v>
      </c>
      <c r="H139" s="6" t="n">
        <v>0</v>
      </c>
      <c r="I139" s="5" t="n">
        <v>0</v>
      </c>
      <c r="J139" s="6" t="n">
        <v>0</v>
      </c>
      <c r="K139" s="5" t="n">
        <v>0</v>
      </c>
      <c r="L139" s="6" t="n">
        <v>0</v>
      </c>
      <c r="M139" s="5" t="n">
        <v>0</v>
      </c>
      <c r="N139" s="6" t="n">
        <v>1</v>
      </c>
      <c r="O139" s="5" t="n">
        <v>430.2</v>
      </c>
      <c r="P139" s="6" t="n">
        <v>0</v>
      </c>
      <c r="Q139" s="5" t="n">
        <v>0</v>
      </c>
      <c r="R139" s="6" t="n">
        <v>0</v>
      </c>
      <c r="S139" s="5" t="n">
        <v>0</v>
      </c>
      <c r="T139" s="6">
        <f>H139+J139+L139+N139+P139+R139</f>
        <v/>
      </c>
    </row>
    <row r="140">
      <c r="A140" s="7" t="inlineStr">
        <is>
          <t>3.2.14</t>
        </is>
      </c>
      <c r="B140" s="15" t="inlineStr">
        <is>
          <t>Joelho 45º PVC Esgoto Ø100mm</t>
        </is>
      </c>
      <c r="C140" s="7" t="inlineStr">
        <is>
          <t>Hidráulica</t>
        </is>
      </c>
      <c r="D140" s="16" t="n">
        <v>22</v>
      </c>
      <c r="E140" s="7" t="inlineStr">
        <is>
          <t>unid</t>
        </is>
      </c>
      <c r="F140" s="8" t="n">
        <v>11.32</v>
      </c>
      <c r="G140" s="8" t="n">
        <v>249.04</v>
      </c>
      <c r="H140" s="9" t="n">
        <v>0</v>
      </c>
      <c r="I140" s="8" t="n">
        <v>0</v>
      </c>
      <c r="J140" s="9" t="n">
        <v>0</v>
      </c>
      <c r="K140" s="8" t="n">
        <v>0</v>
      </c>
      <c r="L140" s="9" t="n">
        <v>0</v>
      </c>
      <c r="M140" s="8" t="n">
        <v>0</v>
      </c>
      <c r="N140" s="9" t="n">
        <v>1</v>
      </c>
      <c r="O140" s="8" t="n">
        <v>249.04</v>
      </c>
      <c r="P140" s="9" t="n">
        <v>0</v>
      </c>
      <c r="Q140" s="8" t="n">
        <v>0</v>
      </c>
      <c r="R140" s="9" t="n">
        <v>0</v>
      </c>
      <c r="S140" s="8" t="n">
        <v>0</v>
      </c>
      <c r="T140" s="9">
        <f>H140+J140+L140+N140+P140+R140</f>
        <v/>
      </c>
    </row>
    <row r="141">
      <c r="A141" s="4" t="inlineStr">
        <is>
          <t>3.2.15</t>
        </is>
      </c>
      <c r="B141" s="13" t="inlineStr">
        <is>
          <t>Junção 45º Y PVC Esgoto Ø100x50mm</t>
        </is>
      </c>
      <c r="C141" s="4" t="inlineStr">
        <is>
          <t>Hidráulica</t>
        </is>
      </c>
      <c r="D141" s="14" t="n">
        <v>18</v>
      </c>
      <c r="E141" s="4" t="inlineStr">
        <is>
          <t>unid</t>
        </is>
      </c>
      <c r="F141" s="5" t="n">
        <v>20.98</v>
      </c>
      <c r="G141" s="5" t="n">
        <v>377.64</v>
      </c>
      <c r="H141" s="6" t="n">
        <v>0</v>
      </c>
      <c r="I141" s="5" t="n">
        <v>0</v>
      </c>
      <c r="J141" s="6" t="n">
        <v>0</v>
      </c>
      <c r="K141" s="5" t="n">
        <v>0</v>
      </c>
      <c r="L141" s="6" t="n">
        <v>0</v>
      </c>
      <c r="M141" s="5" t="n">
        <v>0</v>
      </c>
      <c r="N141" s="6" t="n">
        <v>1</v>
      </c>
      <c r="O141" s="5" t="n">
        <v>377.64</v>
      </c>
      <c r="P141" s="6" t="n">
        <v>0</v>
      </c>
      <c r="Q141" s="5" t="n">
        <v>0</v>
      </c>
      <c r="R141" s="6" t="n">
        <v>0</v>
      </c>
      <c r="S141" s="5" t="n">
        <v>0</v>
      </c>
      <c r="T141" s="6">
        <f>H141+J141+L141+N141+P141+R141</f>
        <v/>
      </c>
    </row>
    <row r="142">
      <c r="A142" s="7" t="inlineStr">
        <is>
          <t>3.2.16</t>
        </is>
      </c>
      <c r="B142" s="15" t="inlineStr">
        <is>
          <t>Tê Sanitário 90º PVC Esgoto Ø100x100mm</t>
        </is>
      </c>
      <c r="C142" s="7" t="inlineStr">
        <is>
          <t>Hidráulica</t>
        </is>
      </c>
      <c r="D142" s="16" t="n">
        <v>12</v>
      </c>
      <c r="E142" s="7" t="inlineStr">
        <is>
          <t>unid</t>
        </is>
      </c>
      <c r="F142" s="8" t="n">
        <v>23.14</v>
      </c>
      <c r="G142" s="8" t="n">
        <v>277.68</v>
      </c>
      <c r="H142" s="9" t="n">
        <v>0</v>
      </c>
      <c r="I142" s="8" t="n">
        <v>0</v>
      </c>
      <c r="J142" s="9" t="n">
        <v>0</v>
      </c>
      <c r="K142" s="8" t="n">
        <v>0</v>
      </c>
      <c r="L142" s="9" t="n">
        <v>0</v>
      </c>
      <c r="M142" s="8" t="n">
        <v>0</v>
      </c>
      <c r="N142" s="9" t="n">
        <v>1</v>
      </c>
      <c r="O142" s="8" t="n">
        <v>277.68</v>
      </c>
      <c r="P142" s="9" t="n">
        <v>0</v>
      </c>
      <c r="Q142" s="8" t="n">
        <v>0</v>
      </c>
      <c r="R142" s="9" t="n">
        <v>0</v>
      </c>
      <c r="S142" s="8" t="n">
        <v>0</v>
      </c>
      <c r="T142" s="9">
        <f>H142+J142+L142+N142+P142+R142</f>
        <v/>
      </c>
    </row>
    <row r="143">
      <c r="A143" s="4" t="inlineStr">
        <is>
          <t>3.2.17</t>
        </is>
      </c>
      <c r="B143" s="13" t="inlineStr">
        <is>
          <t>Registro de Gaveta Bruto c/ Canopla Cromada Ø25mm (3/4")</t>
        </is>
      </c>
      <c r="C143" s="4" t="inlineStr">
        <is>
          <t>Hidráulica</t>
        </is>
      </c>
      <c r="D143" s="14" t="n">
        <v>12</v>
      </c>
      <c r="E143" s="4" t="inlineStr">
        <is>
          <t>unid</t>
        </is>
      </c>
      <c r="F143" s="5" t="n">
        <v>106.56</v>
      </c>
      <c r="G143" s="5" t="n">
        <v>1278.72</v>
      </c>
      <c r="H143" s="6" t="n">
        <v>0</v>
      </c>
      <c r="I143" s="5" t="n">
        <v>0</v>
      </c>
      <c r="J143" s="6" t="n">
        <v>0</v>
      </c>
      <c r="K143" s="5" t="n">
        <v>0</v>
      </c>
      <c r="L143" s="6" t="n">
        <v>0</v>
      </c>
      <c r="M143" s="5" t="n">
        <v>0</v>
      </c>
      <c r="N143" s="6" t="n">
        <v>1</v>
      </c>
      <c r="O143" s="5" t="n">
        <v>1278.72</v>
      </c>
      <c r="P143" s="6" t="n">
        <v>0</v>
      </c>
      <c r="Q143" s="5" t="n">
        <v>0</v>
      </c>
      <c r="R143" s="6" t="n">
        <v>0</v>
      </c>
      <c r="S143" s="5" t="n">
        <v>0</v>
      </c>
      <c r="T143" s="6">
        <f>H143+J143+L143+N143+P143+R143</f>
        <v/>
      </c>
    </row>
    <row r="144">
      <c r="A144" s="7" t="inlineStr">
        <is>
          <t>3.2.18</t>
        </is>
      </c>
      <c r="B144" s="15" t="inlineStr">
        <is>
          <t>Registro de Gaveta Bruto c/ Canopla Cromada Ø50mm (1.1/2")</t>
        </is>
      </c>
      <c r="C144" s="7" t="inlineStr">
        <is>
          <t>Hidráulica</t>
        </is>
      </c>
      <c r="D144" s="16" t="n">
        <v>4</v>
      </c>
      <c r="E144" s="7" t="inlineStr">
        <is>
          <t>unid</t>
        </is>
      </c>
      <c r="F144" s="8" t="n">
        <v>180.58</v>
      </c>
      <c r="G144" s="8" t="n">
        <v>722.3200000000001</v>
      </c>
      <c r="H144" s="9" t="n">
        <v>0</v>
      </c>
      <c r="I144" s="8" t="n">
        <v>0</v>
      </c>
      <c r="J144" s="9" t="n">
        <v>0</v>
      </c>
      <c r="K144" s="8" t="n">
        <v>0</v>
      </c>
      <c r="L144" s="9" t="n">
        <v>0</v>
      </c>
      <c r="M144" s="8" t="n">
        <v>0</v>
      </c>
      <c r="N144" s="9" t="n">
        <v>1</v>
      </c>
      <c r="O144" s="8" t="n">
        <v>722.3200000000001</v>
      </c>
      <c r="P144" s="9" t="n">
        <v>0</v>
      </c>
      <c r="Q144" s="8" t="n">
        <v>0</v>
      </c>
      <c r="R144" s="9" t="n">
        <v>0</v>
      </c>
      <c r="S144" s="8" t="n">
        <v>0</v>
      </c>
      <c r="T144" s="9">
        <f>H144+J144+L144+N144+P144+R144</f>
        <v/>
      </c>
    </row>
    <row r="145">
      <c r="A145" s="4" t="inlineStr">
        <is>
          <t>3.2.19</t>
        </is>
      </c>
      <c r="B145" s="13" t="inlineStr">
        <is>
          <t>Registro de Pressão c/ Canopla Cromada Ø20mm (Chuveiros)</t>
        </is>
      </c>
      <c r="C145" s="4" t="inlineStr">
        <is>
          <t>Hidráulica</t>
        </is>
      </c>
      <c r="D145" s="14" t="n">
        <v>6</v>
      </c>
      <c r="E145" s="4" t="inlineStr">
        <is>
          <t>unid</t>
        </is>
      </c>
      <c r="F145" s="5" t="n">
        <v>87.11</v>
      </c>
      <c r="G145" s="5" t="n">
        <v>522.66</v>
      </c>
      <c r="H145" s="6" t="n">
        <v>0</v>
      </c>
      <c r="I145" s="5" t="n">
        <v>0</v>
      </c>
      <c r="J145" s="6" t="n">
        <v>0</v>
      </c>
      <c r="K145" s="5" t="n">
        <v>0</v>
      </c>
      <c r="L145" s="6" t="n">
        <v>0</v>
      </c>
      <c r="M145" s="5" t="n">
        <v>0</v>
      </c>
      <c r="N145" s="6" t="n">
        <v>1</v>
      </c>
      <c r="O145" s="5" t="n">
        <v>522.66</v>
      </c>
      <c r="P145" s="6" t="n">
        <v>0</v>
      </c>
      <c r="Q145" s="5" t="n">
        <v>0</v>
      </c>
      <c r="R145" s="6" t="n">
        <v>0</v>
      </c>
      <c r="S145" s="5" t="n">
        <v>0</v>
      </c>
      <c r="T145" s="6">
        <f>H145+J145+L145+N145+P145+R145</f>
        <v/>
      </c>
    </row>
    <row r="146">
      <c r="A146" s="7" t="inlineStr">
        <is>
          <t>3.2.20</t>
        </is>
      </c>
      <c r="B146" s="15" t="inlineStr">
        <is>
          <t>Válvula de Retenção Vertical Ø50mm</t>
        </is>
      </c>
      <c r="C146" s="7" t="inlineStr">
        <is>
          <t>Hidráulica</t>
        </is>
      </c>
      <c r="D146" s="16" t="n">
        <v>2</v>
      </c>
      <c r="E146" s="7" t="inlineStr">
        <is>
          <t>unid</t>
        </is>
      </c>
      <c r="F146" s="8" t="n">
        <v>108.09</v>
      </c>
      <c r="G146" s="8" t="n">
        <v>216.18</v>
      </c>
      <c r="H146" s="9" t="n">
        <v>0</v>
      </c>
      <c r="I146" s="8" t="n">
        <v>0</v>
      </c>
      <c r="J146" s="9" t="n">
        <v>0</v>
      </c>
      <c r="K146" s="8" t="n">
        <v>0</v>
      </c>
      <c r="L146" s="9" t="n">
        <v>0</v>
      </c>
      <c r="M146" s="8" t="n">
        <v>0</v>
      </c>
      <c r="N146" s="9" t="n">
        <v>1</v>
      </c>
      <c r="O146" s="8" t="n">
        <v>216.18</v>
      </c>
      <c r="P146" s="9" t="n">
        <v>0</v>
      </c>
      <c r="Q146" s="8" t="n">
        <v>0</v>
      </c>
      <c r="R146" s="9" t="n">
        <v>0</v>
      </c>
      <c r="S146" s="8" t="n">
        <v>0</v>
      </c>
      <c r="T146" s="9">
        <f>H146+J146+L146+N146+P146+R146</f>
        <v/>
      </c>
    </row>
    <row r="147">
      <c r="A147" s="4" t="inlineStr">
        <is>
          <t>3.2.21</t>
        </is>
      </c>
      <c r="B147" s="13" t="inlineStr">
        <is>
          <t>Reservatório de Água Potável Polietileno 5.000 L c/ Tampa</t>
        </is>
      </c>
      <c r="C147" s="4" t="inlineStr">
        <is>
          <t>Hidráulica</t>
        </is>
      </c>
      <c r="D147" s="14" t="n">
        <v>2</v>
      </c>
      <c r="E147" s="4" t="inlineStr">
        <is>
          <t>unid</t>
        </is>
      </c>
      <c r="F147" s="5" t="n">
        <v>3047.5</v>
      </c>
      <c r="G147" s="5" t="n">
        <v>6095</v>
      </c>
      <c r="H147" s="6" t="n">
        <v>0</v>
      </c>
      <c r="I147" s="5" t="n">
        <v>0</v>
      </c>
      <c r="J147" s="6" t="n">
        <v>0</v>
      </c>
      <c r="K147" s="5" t="n">
        <v>0</v>
      </c>
      <c r="L147" s="6" t="n">
        <v>0</v>
      </c>
      <c r="M147" s="5" t="n">
        <v>0</v>
      </c>
      <c r="N147" s="6" t="n">
        <v>0</v>
      </c>
      <c r="O147" s="5" t="n">
        <v>0</v>
      </c>
      <c r="P147" s="6" t="n">
        <v>0</v>
      </c>
      <c r="Q147" s="5" t="n">
        <v>0</v>
      </c>
      <c r="R147" s="6" t="n">
        <v>1</v>
      </c>
      <c r="S147" s="5" t="n">
        <v>6095</v>
      </c>
      <c r="T147" s="6">
        <f>H147+J147+L147+N147+P147+R147</f>
        <v/>
      </c>
    </row>
    <row r="148">
      <c r="A148" s="7" t="inlineStr">
        <is>
          <t>3.2.22</t>
        </is>
      </c>
      <c r="B148" s="15" t="inlineStr">
        <is>
          <t>Ralo Sifonado PVC 150x150x50mm Grelha Inox</t>
        </is>
      </c>
      <c r="C148" s="7" t="inlineStr">
        <is>
          <t>Hidráulica</t>
        </is>
      </c>
      <c r="D148" s="16" t="n">
        <v>14</v>
      </c>
      <c r="E148" s="7" t="inlineStr">
        <is>
          <t>unid</t>
        </is>
      </c>
      <c r="F148" s="8" t="n">
        <v>61.68</v>
      </c>
      <c r="G148" s="8" t="n">
        <v>863.52</v>
      </c>
      <c r="H148" s="9" t="n">
        <v>0</v>
      </c>
      <c r="I148" s="8" t="n">
        <v>0</v>
      </c>
      <c r="J148" s="9" t="n">
        <v>0</v>
      </c>
      <c r="K148" s="8" t="n">
        <v>0</v>
      </c>
      <c r="L148" s="9" t="n">
        <v>0</v>
      </c>
      <c r="M148" s="8" t="n">
        <v>0</v>
      </c>
      <c r="N148" s="9" t="n">
        <v>0</v>
      </c>
      <c r="O148" s="8" t="n">
        <v>0</v>
      </c>
      <c r="P148" s="9" t="n">
        <v>0</v>
      </c>
      <c r="Q148" s="8" t="n">
        <v>0</v>
      </c>
      <c r="R148" s="9" t="n">
        <v>1</v>
      </c>
      <c r="S148" s="8" t="n">
        <v>863.52</v>
      </c>
      <c r="T148" s="9">
        <f>H148+J148+L148+N148+P148+R148</f>
        <v/>
      </c>
    </row>
    <row r="149">
      <c r="A149" s="4" t="inlineStr">
        <is>
          <t>3.2.23</t>
        </is>
      </c>
      <c r="B149" s="13" t="inlineStr">
        <is>
          <t>Caixa de Gordura Pré-moldada Concreto 100L</t>
        </is>
      </c>
      <c r="C149" s="4" t="inlineStr">
        <is>
          <t>Hidráulica</t>
        </is>
      </c>
      <c r="D149" s="14" t="n">
        <v>2</v>
      </c>
      <c r="E149" s="4" t="inlineStr">
        <is>
          <t>unid</t>
        </is>
      </c>
      <c r="F149" s="5" t="n">
        <v>483.25</v>
      </c>
      <c r="G149" s="5" t="n">
        <v>966.5</v>
      </c>
      <c r="H149" s="6" t="n">
        <v>0</v>
      </c>
      <c r="I149" s="5" t="n">
        <v>0</v>
      </c>
      <c r="J149" s="6" t="n">
        <v>0</v>
      </c>
      <c r="K149" s="5" t="n">
        <v>0</v>
      </c>
      <c r="L149" s="6" t="n">
        <v>0</v>
      </c>
      <c r="M149" s="5" t="n">
        <v>0</v>
      </c>
      <c r="N149" s="6" t="n">
        <v>0</v>
      </c>
      <c r="O149" s="5" t="n">
        <v>0</v>
      </c>
      <c r="P149" s="6" t="n">
        <v>0</v>
      </c>
      <c r="Q149" s="5" t="n">
        <v>0</v>
      </c>
      <c r="R149" s="6" t="n">
        <v>1</v>
      </c>
      <c r="S149" s="5" t="n">
        <v>966.5</v>
      </c>
      <c r="T149" s="6">
        <f>H149+J149+L149+N149+P149+R149</f>
        <v/>
      </c>
    </row>
    <row r="150">
      <c r="A150" s="7" t="inlineStr">
        <is>
          <t>3.2.24</t>
        </is>
      </c>
      <c r="B150" s="15" t="inlineStr">
        <is>
          <t>Caixa de Inspeção Esgoto Concreto 60x60x60cm c/ Tampa</t>
        </is>
      </c>
      <c r="C150" s="7" t="inlineStr">
        <is>
          <t>Hidráulica</t>
        </is>
      </c>
      <c r="D150" s="16" t="n">
        <v>6</v>
      </c>
      <c r="E150" s="7" t="inlineStr">
        <is>
          <t>unid</t>
        </is>
      </c>
      <c r="F150" s="8" t="n">
        <v>368.79</v>
      </c>
      <c r="G150" s="8" t="n">
        <v>2212.74</v>
      </c>
      <c r="H150" s="9" t="n">
        <v>0</v>
      </c>
      <c r="I150" s="8" t="n">
        <v>0</v>
      </c>
      <c r="J150" s="9" t="n">
        <v>0</v>
      </c>
      <c r="K150" s="8" t="n">
        <v>0</v>
      </c>
      <c r="L150" s="9" t="n">
        <v>0</v>
      </c>
      <c r="M150" s="8" t="n">
        <v>0</v>
      </c>
      <c r="N150" s="9" t="n">
        <v>0</v>
      </c>
      <c r="O150" s="8" t="n">
        <v>0</v>
      </c>
      <c r="P150" s="9" t="n">
        <v>0</v>
      </c>
      <c r="Q150" s="8" t="n">
        <v>0</v>
      </c>
      <c r="R150" s="9" t="n">
        <v>1</v>
      </c>
      <c r="S150" s="8" t="n">
        <v>2212.74</v>
      </c>
      <c r="T150" s="9">
        <f>H150+J150+L150+N150+P150+R150</f>
        <v/>
      </c>
    </row>
    <row r="151">
      <c r="A151" s="4" t="inlineStr">
        <is>
          <t>3.2.25</t>
        </is>
      </c>
      <c r="B151" s="13" t="inlineStr">
        <is>
          <t>Bacia Sanitária c/ Caixa Acoplada 3/6L e Assento</t>
        </is>
      </c>
      <c r="C151" s="4" t="inlineStr">
        <is>
          <t>Hidráulica</t>
        </is>
      </c>
      <c r="D151" s="14" t="n">
        <v>10</v>
      </c>
      <c r="E151" s="4" t="inlineStr">
        <is>
          <t>unid</t>
        </is>
      </c>
      <c r="F151" s="5" t="n">
        <v>750.35</v>
      </c>
      <c r="G151" s="5" t="n">
        <v>7503.5</v>
      </c>
      <c r="H151" s="6" t="n">
        <v>0</v>
      </c>
      <c r="I151" s="5" t="n">
        <v>0</v>
      </c>
      <c r="J151" s="6" t="n">
        <v>0</v>
      </c>
      <c r="K151" s="5" t="n">
        <v>0</v>
      </c>
      <c r="L151" s="6" t="n">
        <v>0</v>
      </c>
      <c r="M151" s="5" t="n">
        <v>0</v>
      </c>
      <c r="N151" s="6" t="n">
        <v>0</v>
      </c>
      <c r="O151" s="5" t="n">
        <v>0</v>
      </c>
      <c r="P151" s="6" t="n">
        <v>0</v>
      </c>
      <c r="Q151" s="5" t="n">
        <v>0</v>
      </c>
      <c r="R151" s="6" t="n">
        <v>1</v>
      </c>
      <c r="S151" s="5" t="n">
        <v>7503.5</v>
      </c>
      <c r="T151" s="6">
        <f>H151+J151+L151+N151+P151+R151</f>
        <v/>
      </c>
    </row>
    <row r="152">
      <c r="A152" s="7" t="inlineStr">
        <is>
          <t>3.2.26</t>
        </is>
      </c>
      <c r="B152" s="15" t="inlineStr">
        <is>
          <t>Lavatório Louça Branca c/ Torneira Automática de Mesa</t>
        </is>
      </c>
      <c r="C152" s="7" t="inlineStr">
        <is>
          <t>Hidráulica</t>
        </is>
      </c>
      <c r="D152" s="16" t="n">
        <v>12</v>
      </c>
      <c r="E152" s="7" t="inlineStr">
        <is>
          <t>unid</t>
        </is>
      </c>
      <c r="F152" s="8" t="n">
        <v>521.4</v>
      </c>
      <c r="G152" s="8" t="n">
        <v>6256.8</v>
      </c>
      <c r="H152" s="9" t="n">
        <v>0</v>
      </c>
      <c r="I152" s="8" t="n">
        <v>0</v>
      </c>
      <c r="J152" s="9" t="n">
        <v>0</v>
      </c>
      <c r="K152" s="8" t="n">
        <v>0</v>
      </c>
      <c r="L152" s="9" t="n">
        <v>0</v>
      </c>
      <c r="M152" s="8" t="n">
        <v>0</v>
      </c>
      <c r="N152" s="9" t="n">
        <v>0</v>
      </c>
      <c r="O152" s="8" t="n">
        <v>0</v>
      </c>
      <c r="P152" s="9" t="n">
        <v>0</v>
      </c>
      <c r="Q152" s="8" t="n">
        <v>0</v>
      </c>
      <c r="R152" s="9" t="n">
        <v>1</v>
      </c>
      <c r="S152" s="8" t="n">
        <v>6256.8</v>
      </c>
      <c r="T152" s="9">
        <f>H152+J152+L152+N152+P152+R152</f>
        <v/>
      </c>
    </row>
    <row r="153">
      <c r="A153" s="4" t="inlineStr">
        <is>
          <t>3.2.27</t>
        </is>
      </c>
      <c r="B153" s="13" t="inlineStr">
        <is>
          <t>Sifão Sanfonado Universal PVC c/ Adaptador</t>
        </is>
      </c>
      <c r="C153" s="4" t="inlineStr">
        <is>
          <t>Hidráulica</t>
        </is>
      </c>
      <c r="D153" s="14" t="n">
        <v>14</v>
      </c>
      <c r="E153" s="4" t="inlineStr">
        <is>
          <t>unid</t>
        </is>
      </c>
      <c r="F153" s="5" t="n">
        <v>18.44</v>
      </c>
      <c r="G153" s="5" t="n">
        <v>258.16</v>
      </c>
      <c r="H153" s="6" t="n">
        <v>0</v>
      </c>
      <c r="I153" s="5" t="n">
        <v>0</v>
      </c>
      <c r="J153" s="6" t="n">
        <v>0</v>
      </c>
      <c r="K153" s="5" t="n">
        <v>0</v>
      </c>
      <c r="L153" s="6" t="n">
        <v>0</v>
      </c>
      <c r="M153" s="5" t="n">
        <v>0</v>
      </c>
      <c r="N153" s="6" t="n">
        <v>0</v>
      </c>
      <c r="O153" s="5" t="n">
        <v>0</v>
      </c>
      <c r="P153" s="6" t="n">
        <v>0</v>
      </c>
      <c r="Q153" s="5" t="n">
        <v>0</v>
      </c>
      <c r="R153" s="6" t="n">
        <v>1</v>
      </c>
      <c r="S153" s="5" t="n">
        <v>258.16</v>
      </c>
      <c r="T153" s="6">
        <f>H153+J153+L153+N153+P153+R153</f>
        <v/>
      </c>
    </row>
    <row r="154">
      <c r="A154" s="7" t="inlineStr">
        <is>
          <t>3.2.28</t>
        </is>
      </c>
      <c r="B154" s="15" t="inlineStr">
        <is>
          <t>Engate Flexível Inox 1/2" 40cm</t>
        </is>
      </c>
      <c r="C154" s="7" t="inlineStr">
        <is>
          <t>Hidráulica</t>
        </is>
      </c>
      <c r="D154" s="16" t="n">
        <v>22</v>
      </c>
      <c r="E154" s="7" t="inlineStr">
        <is>
          <t>unid</t>
        </is>
      </c>
      <c r="F154" s="8" t="n">
        <v>27.98</v>
      </c>
      <c r="G154" s="8" t="n">
        <v>615.5599999999999</v>
      </c>
      <c r="H154" s="9" t="n">
        <v>0</v>
      </c>
      <c r="I154" s="8" t="n">
        <v>0</v>
      </c>
      <c r="J154" s="9" t="n">
        <v>0</v>
      </c>
      <c r="K154" s="8" t="n">
        <v>0</v>
      </c>
      <c r="L154" s="9" t="n">
        <v>0</v>
      </c>
      <c r="M154" s="8" t="n">
        <v>0</v>
      </c>
      <c r="N154" s="9" t="n">
        <v>0</v>
      </c>
      <c r="O154" s="8" t="n">
        <v>0</v>
      </c>
      <c r="P154" s="9" t="n">
        <v>0</v>
      </c>
      <c r="Q154" s="8" t="n">
        <v>0</v>
      </c>
      <c r="R154" s="9" t="n">
        <v>1</v>
      </c>
      <c r="S154" s="8" t="n">
        <v>615.5599999999999</v>
      </c>
      <c r="T154" s="9">
        <f>H154+J154+L154+N154+P154+R154</f>
        <v/>
      </c>
    </row>
    <row r="155">
      <c r="A155" s="4" t="inlineStr">
        <is>
          <t>3.2.29</t>
        </is>
      </c>
      <c r="B155" s="13" t="inlineStr">
        <is>
          <t>Válvula de Escoamento Inox 7/8" para Lavatório</t>
        </is>
      </c>
      <c r="C155" s="4" t="inlineStr">
        <is>
          <t>Hidráulica</t>
        </is>
      </c>
      <c r="D155" s="14" t="n">
        <v>12</v>
      </c>
      <c r="E155" s="4" t="inlineStr">
        <is>
          <t>unid</t>
        </is>
      </c>
      <c r="F155" s="5" t="n">
        <v>35.61</v>
      </c>
      <c r="G155" s="5" t="n">
        <v>427.32</v>
      </c>
      <c r="H155" s="6" t="n">
        <v>0</v>
      </c>
      <c r="I155" s="5" t="n">
        <v>0</v>
      </c>
      <c r="J155" s="6" t="n">
        <v>0</v>
      </c>
      <c r="K155" s="5" t="n">
        <v>0</v>
      </c>
      <c r="L155" s="6" t="n">
        <v>0</v>
      </c>
      <c r="M155" s="5" t="n">
        <v>0</v>
      </c>
      <c r="N155" s="6" t="n">
        <v>0</v>
      </c>
      <c r="O155" s="5" t="n">
        <v>0</v>
      </c>
      <c r="P155" s="6" t="n">
        <v>0</v>
      </c>
      <c r="Q155" s="5" t="n">
        <v>0</v>
      </c>
      <c r="R155" s="6" t="n">
        <v>1</v>
      </c>
      <c r="S155" s="5" t="n">
        <v>427.32</v>
      </c>
      <c r="T155" s="6">
        <f>H155+J155+L155+N155+P155+R155</f>
        <v/>
      </c>
    </row>
    <row r="156">
      <c r="A156" s="7" t="inlineStr">
        <is>
          <t>3.2.30</t>
        </is>
      </c>
      <c r="B156" s="15" t="inlineStr">
        <is>
          <t>Fita Veda-Rosca PTFE 18mm x 50m</t>
        </is>
      </c>
      <c r="C156" s="7" t="inlineStr">
        <is>
          <t>Hidráulica</t>
        </is>
      </c>
      <c r="D156" s="16" t="n">
        <v>12</v>
      </c>
      <c r="E156" s="7" t="inlineStr">
        <is>
          <t>rolo</t>
        </is>
      </c>
      <c r="F156" s="8" t="n">
        <v>10.81</v>
      </c>
      <c r="G156" s="8" t="n">
        <v>129.72</v>
      </c>
      <c r="H156" s="9" t="n">
        <v>0</v>
      </c>
      <c r="I156" s="8" t="n">
        <v>0</v>
      </c>
      <c r="J156" s="9" t="n">
        <v>0</v>
      </c>
      <c r="K156" s="8" t="n">
        <v>0</v>
      </c>
      <c r="L156" s="9" t="n">
        <v>0</v>
      </c>
      <c r="M156" s="8" t="n">
        <v>0</v>
      </c>
      <c r="N156" s="9" t="n">
        <v>0</v>
      </c>
      <c r="O156" s="8" t="n">
        <v>0</v>
      </c>
      <c r="P156" s="9" t="n">
        <v>0</v>
      </c>
      <c r="Q156" s="8" t="n">
        <v>0</v>
      </c>
      <c r="R156" s="9" t="n">
        <v>1</v>
      </c>
      <c r="S156" s="8" t="n">
        <v>129.72</v>
      </c>
      <c r="T156" s="9">
        <f>H156+J156+L156+N156+P156+R156</f>
        <v/>
      </c>
    </row>
    <row r="157">
      <c r="A157" s="4" t="inlineStr">
        <is>
          <t>3.3.1</t>
        </is>
      </c>
      <c r="B157" s="13" t="inlineStr">
        <is>
          <t>Aparelho Split Cassete 36.000 BTU/h Inverter R410A</t>
        </is>
      </c>
      <c r="C157" s="4" t="inlineStr">
        <is>
          <t>HVAC</t>
        </is>
      </c>
      <c r="D157" s="14" t="n">
        <v>4</v>
      </c>
      <c r="E157" s="4" t="inlineStr">
        <is>
          <t>unid</t>
        </is>
      </c>
      <c r="F157" s="5" t="n">
        <v>11818.64</v>
      </c>
      <c r="G157" s="5" t="n">
        <v>47274.56</v>
      </c>
      <c r="H157" s="6" t="n">
        <v>0</v>
      </c>
      <c r="I157" s="5" t="n">
        <v>0</v>
      </c>
      <c r="J157" s="6" t="n">
        <v>0</v>
      </c>
      <c r="K157" s="5" t="n">
        <v>0</v>
      </c>
      <c r="L157" s="6" t="n">
        <v>0</v>
      </c>
      <c r="M157" s="5" t="n">
        <v>0</v>
      </c>
      <c r="N157" s="6" t="n">
        <v>0</v>
      </c>
      <c r="O157" s="5" t="n">
        <v>0</v>
      </c>
      <c r="P157" s="6" t="n">
        <v>0</v>
      </c>
      <c r="Q157" s="5" t="n">
        <v>0</v>
      </c>
      <c r="R157" s="6" t="n">
        <v>1</v>
      </c>
      <c r="S157" s="5" t="n">
        <v>47274.56</v>
      </c>
      <c r="T157" s="6">
        <f>H157+J157+L157+N157+P157+R157</f>
        <v/>
      </c>
    </row>
    <row r="158">
      <c r="A158" s="7" t="inlineStr">
        <is>
          <t>3.3.2</t>
        </is>
      </c>
      <c r="B158" s="15" t="inlineStr">
        <is>
          <t>Aparelho Split Hi-Wall 18.000 BTU/h Inverter R410A</t>
        </is>
      </c>
      <c r="C158" s="7" t="inlineStr">
        <is>
          <t>HVAC</t>
        </is>
      </c>
      <c r="D158" s="16" t="n">
        <v>6</v>
      </c>
      <c r="E158" s="7" t="inlineStr">
        <is>
          <t>unid</t>
        </is>
      </c>
      <c r="F158" s="8" t="n">
        <v>4174.33</v>
      </c>
      <c r="G158" s="8" t="n">
        <v>25045.98</v>
      </c>
      <c r="H158" s="9" t="n">
        <v>0</v>
      </c>
      <c r="I158" s="8" t="n">
        <v>0</v>
      </c>
      <c r="J158" s="9" t="n">
        <v>0</v>
      </c>
      <c r="K158" s="8" t="n">
        <v>0</v>
      </c>
      <c r="L158" s="9" t="n">
        <v>0</v>
      </c>
      <c r="M158" s="8" t="n">
        <v>0</v>
      </c>
      <c r="N158" s="9" t="n">
        <v>0</v>
      </c>
      <c r="O158" s="8" t="n">
        <v>0</v>
      </c>
      <c r="P158" s="9" t="n">
        <v>0</v>
      </c>
      <c r="Q158" s="8" t="n">
        <v>0</v>
      </c>
      <c r="R158" s="9" t="n">
        <v>1</v>
      </c>
      <c r="S158" s="8" t="n">
        <v>25045.98</v>
      </c>
      <c r="T158" s="9">
        <f>H158+J158+L158+N158+P158+R158</f>
        <v/>
      </c>
    </row>
    <row r="159">
      <c r="A159" s="4" t="inlineStr">
        <is>
          <t>3.3.3</t>
        </is>
      </c>
      <c r="B159" s="13" t="inlineStr">
        <is>
          <t>Aparelho Split Hi-Wall 12.000 BTU/h Inverter R410A</t>
        </is>
      </c>
      <c r="C159" s="4" t="inlineStr">
        <is>
          <t>HVAC</t>
        </is>
      </c>
      <c r="D159" s="14" t="n">
        <v>6</v>
      </c>
      <c r="E159" s="4" t="inlineStr">
        <is>
          <t>unid</t>
        </is>
      </c>
      <c r="F159" s="5" t="n">
        <v>2901.81</v>
      </c>
      <c r="G159" s="5" t="n">
        <v>17410.86</v>
      </c>
      <c r="H159" s="6" t="n">
        <v>0</v>
      </c>
      <c r="I159" s="5" t="n">
        <v>0</v>
      </c>
      <c r="J159" s="6" t="n">
        <v>0</v>
      </c>
      <c r="K159" s="5" t="n">
        <v>0</v>
      </c>
      <c r="L159" s="6" t="n">
        <v>0</v>
      </c>
      <c r="M159" s="5" t="n">
        <v>0</v>
      </c>
      <c r="N159" s="6" t="n">
        <v>0</v>
      </c>
      <c r="O159" s="5" t="n">
        <v>0</v>
      </c>
      <c r="P159" s="6" t="n">
        <v>0</v>
      </c>
      <c r="Q159" s="5" t="n">
        <v>0</v>
      </c>
      <c r="R159" s="6" t="n">
        <v>1</v>
      </c>
      <c r="S159" s="5" t="n">
        <v>17410.86</v>
      </c>
      <c r="T159" s="6">
        <f>H159+J159+L159+N159+P159+R159</f>
        <v/>
      </c>
    </row>
    <row r="160">
      <c r="A160" s="7" t="inlineStr">
        <is>
          <t>3.3.4</t>
        </is>
      </c>
      <c r="B160" s="15" t="inlineStr">
        <is>
          <t>Tubulação Cobre Flexível Ø3/8"+Ø5/8" c/ Isolamento</t>
        </is>
      </c>
      <c r="C160" s="7" t="inlineStr">
        <is>
          <t>HVAC</t>
        </is>
      </c>
      <c r="D160" s="16" t="n">
        <v>180</v>
      </c>
      <c r="E160" s="7" t="inlineStr">
        <is>
          <t>m</t>
        </is>
      </c>
      <c r="F160" s="8" t="n">
        <v>104.92</v>
      </c>
      <c r="G160" s="8" t="n">
        <v>18885.6</v>
      </c>
      <c r="H160" s="9" t="n">
        <v>0</v>
      </c>
      <c r="I160" s="8" t="n">
        <v>0</v>
      </c>
      <c r="J160" s="9" t="n">
        <v>0</v>
      </c>
      <c r="K160" s="8" t="n">
        <v>0</v>
      </c>
      <c r="L160" s="9" t="n">
        <v>0</v>
      </c>
      <c r="M160" s="8" t="n">
        <v>0</v>
      </c>
      <c r="N160" s="9" t="n">
        <v>0</v>
      </c>
      <c r="O160" s="8" t="n">
        <v>0</v>
      </c>
      <c r="P160" s="9" t="n">
        <v>1</v>
      </c>
      <c r="Q160" s="8" t="n">
        <v>18885.6</v>
      </c>
      <c r="R160" s="9" t="n">
        <v>0</v>
      </c>
      <c r="S160" s="8" t="n">
        <v>0</v>
      </c>
      <c r="T160" s="9">
        <f>H160+J160+L160+N160+P160+R160</f>
        <v/>
      </c>
    </row>
    <row r="161">
      <c r="A161" s="4" t="inlineStr">
        <is>
          <t>3.3.5</t>
        </is>
      </c>
      <c r="B161" s="13" t="inlineStr">
        <is>
          <t>Tubo PVC Condensado Ø25mm c/ Isolamento</t>
        </is>
      </c>
      <c r="C161" s="4" t="inlineStr">
        <is>
          <t>HVAC</t>
        </is>
      </c>
      <c r="D161" s="14" t="n">
        <v>120</v>
      </c>
      <c r="E161" s="4" t="inlineStr">
        <is>
          <t>m</t>
        </is>
      </c>
      <c r="F161" s="5" t="n">
        <v>31.42</v>
      </c>
      <c r="G161" s="5" t="n">
        <v>3770.4</v>
      </c>
      <c r="H161" s="6" t="n">
        <v>0</v>
      </c>
      <c r="I161" s="5" t="n">
        <v>0</v>
      </c>
      <c r="J161" s="6" t="n">
        <v>0</v>
      </c>
      <c r="K161" s="5" t="n">
        <v>0</v>
      </c>
      <c r="L161" s="6" t="n">
        <v>0</v>
      </c>
      <c r="M161" s="5" t="n">
        <v>0</v>
      </c>
      <c r="N161" s="6" t="n">
        <v>0</v>
      </c>
      <c r="O161" s="5" t="n">
        <v>0</v>
      </c>
      <c r="P161" s="6" t="n">
        <v>1</v>
      </c>
      <c r="Q161" s="5" t="n">
        <v>3770.4</v>
      </c>
      <c r="R161" s="6" t="n">
        <v>0</v>
      </c>
      <c r="S161" s="5" t="n">
        <v>0</v>
      </c>
      <c r="T161" s="6">
        <f>H161+J161+L161+N161+P161+R161</f>
        <v/>
      </c>
    </row>
    <row r="162">
      <c r="A162" s="7" t="inlineStr">
        <is>
          <t>3.3.6</t>
        </is>
      </c>
      <c r="B162" s="15" t="inlineStr">
        <is>
          <t>Exaustor Axial de Parede/Teto 150 m³/h</t>
        </is>
      </c>
      <c r="C162" s="7" t="inlineStr">
        <is>
          <t>HVAC</t>
        </is>
      </c>
      <c r="D162" s="16" t="n">
        <v>6</v>
      </c>
      <c r="E162" s="7" t="inlineStr">
        <is>
          <t>unid</t>
        </is>
      </c>
      <c r="F162" s="8" t="n">
        <v>253</v>
      </c>
      <c r="G162" s="8" t="n">
        <v>1518</v>
      </c>
      <c r="H162" s="9" t="n">
        <v>0</v>
      </c>
      <c r="I162" s="8" t="n">
        <v>0</v>
      </c>
      <c r="J162" s="9" t="n">
        <v>0</v>
      </c>
      <c r="K162" s="8" t="n">
        <v>0</v>
      </c>
      <c r="L162" s="9" t="n">
        <v>0</v>
      </c>
      <c r="M162" s="8" t="n">
        <v>0</v>
      </c>
      <c r="N162" s="9" t="n">
        <v>0</v>
      </c>
      <c r="O162" s="8" t="n">
        <v>0</v>
      </c>
      <c r="P162" s="9" t="n">
        <v>1</v>
      </c>
      <c r="Q162" s="8" t="n">
        <v>1518</v>
      </c>
      <c r="R162" s="9" t="n">
        <v>0</v>
      </c>
      <c r="S162" s="8" t="n">
        <v>0</v>
      </c>
      <c r="T162" s="9">
        <f>H162+J162+L162+N162+P162+R162</f>
        <v/>
      </c>
    </row>
    <row r="163">
      <c r="A163" s="10" t="inlineStr">
        <is>
          <t>TOTAL</t>
        </is>
      </c>
      <c r="B163" s="17" t="inlineStr">
        <is>
          <t>TOTAL GERAL DO EMPREENDIMENTO (TURNKEY)</t>
        </is>
      </c>
      <c r="C163" s="18" t="n"/>
      <c r="D163" s="18" t="n"/>
      <c r="E163" s="18" t="n"/>
      <c r="F163" s="18" t="n"/>
      <c r="G163" s="11">
        <f>SUM(G5:G162)</f>
        <v/>
      </c>
      <c r="H163" s="12">
        <f>I163/G163</f>
        <v/>
      </c>
      <c r="I163" s="11">
        <f>SUM(I5:I162)</f>
        <v/>
      </c>
      <c r="J163" s="12">
        <f>K163/G163</f>
        <v/>
      </c>
      <c r="K163" s="11">
        <f>SUM(K5:K162)</f>
        <v/>
      </c>
      <c r="L163" s="12">
        <f>M163/G163</f>
        <v/>
      </c>
      <c r="M163" s="11">
        <f>SUM(M5:M162)</f>
        <v/>
      </c>
      <c r="N163" s="12">
        <f>O163/G163</f>
        <v/>
      </c>
      <c r="O163" s="11">
        <f>SUM(O5:O162)</f>
        <v/>
      </c>
      <c r="P163" s="12">
        <f>Q163/G163</f>
        <v/>
      </c>
      <c r="Q163" s="11">
        <f>SUM(Q5:Q162)</f>
        <v/>
      </c>
      <c r="R163" s="12">
        <f>S163/G163</f>
        <v/>
      </c>
      <c r="S163" s="11">
        <f>SUM(S5:S162)</f>
        <v/>
      </c>
      <c r="T163" s="12" t="n">
        <v>1</v>
      </c>
    </row>
  </sheetData>
  <mergeCells count="1">
    <mergeCell ref="A1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2026-09-13T15:36:53Z</dcterms:created>
  <dcterms:modified xsi:type="dcterms:W3CDTF">2026-09-13T15:36:54Z</dcterms:modified>
</cp:coreProperties>
</file>