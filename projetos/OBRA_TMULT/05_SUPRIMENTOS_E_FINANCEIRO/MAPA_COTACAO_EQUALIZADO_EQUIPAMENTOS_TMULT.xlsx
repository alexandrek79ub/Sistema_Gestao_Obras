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 Equip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37333"/>
      <sz val="10"/>
    </font>
    <font>
      <name val="Calibri"/>
      <b val="1"/>
      <color rgb="001B365D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D99B26"/>
        <bgColor rgb="00D99B26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164" fontId="0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4" fillId="7" borderId="2" applyAlignment="1" pivotButton="0" quotePrefix="0" xfId="0">
      <alignment horizontal="right" vertical="center"/>
    </xf>
    <xf numFmtId="0" fontId="0" fillId="7" borderId="2" pivotButton="0" quotePrefix="0" xfId="0"/>
    <xf numFmtId="164" fontId="4" fillId="7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8" customWidth="1" min="3" max="3"/>
    <col width="12" customWidth="1" min="4" max="4"/>
    <col width="14" customWidth="1" min="5" max="5"/>
    <col width="24" customWidth="1" min="6" max="6"/>
    <col width="16" customWidth="1" min="7" max="7"/>
    <col width="24" customWidth="1" min="8" max="8"/>
    <col width="16" customWidth="1" min="9" max="9"/>
    <col width="24" customWidth="1" min="10" max="10"/>
    <col width="18" customWidth="1" min="11" max="11"/>
  </cols>
  <sheetData>
    <row r="1" ht="26" customHeight="1">
      <c r="A1" s="1" t="inlineStr">
        <is>
          <t>MAPA DE COTAÇÃO EQUALIZADO DE EQUIPAMENTOS E MÁQUINAS (OBRA_TMULT - 3 LOCADORAS)</t>
        </is>
      </c>
    </row>
    <row r="3" ht="24" customHeight="1">
      <c r="A3" s="2" t="inlineStr">
        <is>
          <t>Nº RE</t>
        </is>
      </c>
      <c r="B3" s="2" t="inlineStr">
        <is>
          <t>Cód EQ</t>
        </is>
      </c>
      <c r="C3" s="2" t="inlineStr">
        <is>
          <t>Equipamento Solicitado</t>
        </is>
      </c>
      <c r="D3" s="2" t="inlineStr">
        <is>
          <t>Centro Custo</t>
        </is>
      </c>
      <c r="E3" s="2" t="inlineStr">
        <is>
          <t>Prazo</t>
        </is>
      </c>
      <c r="F3" s="2" t="inlineStr">
        <is>
          <t>Locadora A (Proposta 1)</t>
        </is>
      </c>
      <c r="G3" s="2" t="inlineStr">
        <is>
          <t>Valor Total A</t>
        </is>
      </c>
      <c r="H3" s="2" t="inlineStr">
        <is>
          <t>Locadora B (Proposta 2)</t>
        </is>
      </c>
      <c r="I3" s="2" t="inlineStr">
        <is>
          <t>Valor Total B</t>
        </is>
      </c>
      <c r="J3" s="3" t="inlineStr">
        <is>
          <t>Locadora Vencedora (Menor Preço)</t>
        </is>
      </c>
      <c r="K3" s="3" t="inlineStr">
        <is>
          <t>Valor Homologado (R$)</t>
        </is>
      </c>
    </row>
    <row r="4" ht="20" customHeight="1">
      <c r="A4" s="4" t="inlineStr">
        <is>
          <t>RE-001/2026</t>
        </is>
      </c>
      <c r="B4" s="4" t="inlineStr">
        <is>
          <t>EQ-01</t>
        </is>
      </c>
      <c r="C4" s="5" t="inlineStr">
        <is>
          <t>Módulo Habitável Escritório / Reuni</t>
        </is>
      </c>
      <c r="D4" s="4" t="inlineStr">
        <is>
          <t>CC-103</t>
        </is>
      </c>
      <c r="E4" s="4" t="inlineStr">
        <is>
          <t>M1 a M6 (6 m</t>
        </is>
      </c>
      <c r="F4" s="5" t="inlineStr">
        <is>
          <t>Rentcon Locações</t>
        </is>
      </c>
      <c r="G4" s="6" t="n">
        <v>11100</v>
      </c>
      <c r="H4" s="5" t="inlineStr">
        <is>
          <t>NHJ Brasil</t>
        </is>
      </c>
      <c r="I4" s="6" t="n">
        <v>11700</v>
      </c>
      <c r="J4" s="5" t="inlineStr">
        <is>
          <t>Rentcon Locações</t>
        </is>
      </c>
      <c r="K4" s="7" t="n">
        <v>11100</v>
      </c>
    </row>
    <row r="5" ht="20" customHeight="1">
      <c r="A5" s="8" t="inlineStr">
        <is>
          <t>RE-002/2026</t>
        </is>
      </c>
      <c r="B5" s="8" t="inlineStr">
        <is>
          <t>EQ-02</t>
        </is>
      </c>
      <c r="C5" s="9" t="inlineStr">
        <is>
          <t>Módulo Vestiário / Sanitário NR-18</t>
        </is>
      </c>
      <c r="D5" s="8" t="inlineStr">
        <is>
          <t>CC-103</t>
        </is>
      </c>
      <c r="E5" s="8" t="inlineStr">
        <is>
          <t>M1 a M6 (6 m</t>
        </is>
      </c>
      <c r="F5" s="9" t="inlineStr">
        <is>
          <t>Rentcon Locações</t>
        </is>
      </c>
      <c r="G5" s="10" t="n">
        <v>10500</v>
      </c>
      <c r="H5" s="9" t="inlineStr">
        <is>
          <t>NHJ Brasil</t>
        </is>
      </c>
      <c r="I5" s="10" t="n">
        <v>10800</v>
      </c>
      <c r="J5" s="9" t="inlineStr">
        <is>
          <t>Rentcon Locações</t>
        </is>
      </c>
      <c r="K5" s="11" t="n">
        <v>10500</v>
      </c>
    </row>
    <row r="6" ht="20" customHeight="1">
      <c r="A6" s="4" t="inlineStr">
        <is>
          <t>RE-003/2026</t>
        </is>
      </c>
      <c r="B6" s="4" t="inlineStr">
        <is>
          <t>EQ-03</t>
        </is>
      </c>
      <c r="C6" s="5" t="inlineStr">
        <is>
          <t>Módulo Refeitório NR-18</t>
        </is>
      </c>
      <c r="D6" s="4" t="inlineStr">
        <is>
          <t>CC-103</t>
        </is>
      </c>
      <c r="E6" s="4" t="inlineStr">
        <is>
          <t>M1 a M6 (6 m</t>
        </is>
      </c>
      <c r="F6" s="5" t="inlineStr">
        <is>
          <t>Rentcon Locações</t>
        </is>
      </c>
      <c r="G6" s="6" t="n">
        <v>9300</v>
      </c>
      <c r="H6" s="5" t="inlineStr">
        <is>
          <t>NHJ Brasil</t>
        </is>
      </c>
      <c r="I6" s="6" t="n">
        <v>9600</v>
      </c>
      <c r="J6" s="5" t="inlineStr">
        <is>
          <t>Rentcon Locações</t>
        </is>
      </c>
      <c r="K6" s="7" t="n">
        <v>9300</v>
      </c>
    </row>
    <row r="7" ht="20" customHeight="1">
      <c r="A7" s="8" t="inlineStr">
        <is>
          <t>RE-004/2026</t>
        </is>
      </c>
      <c r="B7" s="8" t="inlineStr">
        <is>
          <t>EQ-04</t>
        </is>
      </c>
      <c r="C7" s="9" t="inlineStr">
        <is>
          <t>Módulo Almoxarifado / Ferramentaria</t>
        </is>
      </c>
      <c r="D7" s="8" t="inlineStr">
        <is>
          <t>CC-103</t>
        </is>
      </c>
      <c r="E7" s="8" t="inlineStr">
        <is>
          <t>M1 a M6 (6 m</t>
        </is>
      </c>
      <c r="F7" s="9" t="inlineStr">
        <is>
          <t>Rentcon Locações</t>
        </is>
      </c>
      <c r="G7" s="10" t="n">
        <v>5700</v>
      </c>
      <c r="H7" s="9" t="inlineStr">
        <is>
          <t>NHJ Brasil</t>
        </is>
      </c>
      <c r="I7" s="10" t="n">
        <v>6000</v>
      </c>
      <c r="J7" s="9" t="inlineStr">
        <is>
          <t>Rentcon Locações</t>
        </is>
      </c>
      <c r="K7" s="11" t="n">
        <v>5700</v>
      </c>
    </row>
    <row r="8" ht="20" customHeight="1">
      <c r="A8" s="4" t="inlineStr">
        <is>
          <t>RE-005/2026</t>
        </is>
      </c>
      <c r="B8" s="4" t="inlineStr">
        <is>
          <t>EQ-05</t>
        </is>
      </c>
      <c r="C8" s="5" t="inlineStr">
        <is>
          <t>Sanitários Químicos Portáteis (2 Ca</t>
        </is>
      </c>
      <c r="D8" s="4" t="inlineStr">
        <is>
          <t>CC-103</t>
        </is>
      </c>
      <c r="E8" s="4" t="inlineStr">
        <is>
          <t>M1 a M6 (6 m</t>
        </is>
      </c>
      <c r="F8" s="5" t="inlineStr">
        <is>
          <t>Brasquímica Sanitários</t>
        </is>
      </c>
      <c r="G8" s="6" t="n">
        <v>1699.98</v>
      </c>
      <c r="H8" s="5" t="inlineStr">
        <is>
          <t>CleanBox Campos</t>
        </is>
      </c>
      <c r="I8" s="6" t="n">
        <v>1920</v>
      </c>
      <c r="J8" s="5" t="inlineStr">
        <is>
          <t>Brasquímica Sanitários</t>
        </is>
      </c>
      <c r="K8" s="7" t="n">
        <v>1699.98</v>
      </c>
    </row>
    <row r="9" ht="20" customHeight="1">
      <c r="A9" s="8" t="inlineStr">
        <is>
          <t>RE-006/2026</t>
        </is>
      </c>
      <c r="B9" s="8" t="inlineStr">
        <is>
          <t>EQ-06</t>
        </is>
      </c>
      <c r="C9" s="9" t="inlineStr">
        <is>
          <t>Retroescavadeira 4x4 cabinada c/ op</t>
        </is>
      </c>
      <c r="D9" s="8" t="inlineStr">
        <is>
          <t>CC-201</t>
        </is>
      </c>
      <c r="E9" s="8" t="inlineStr">
        <is>
          <t>M1 (3 semana</t>
        </is>
      </c>
      <c r="F9" s="9" t="inlineStr">
        <is>
          <t>Terramax Locações Açu</t>
        </is>
      </c>
      <c r="G9" s="10" t="n">
        <v>14000</v>
      </c>
      <c r="H9" s="9" t="inlineStr">
        <is>
          <t>Transloc Norte Fluminense</t>
        </is>
      </c>
      <c r="I9" s="10" t="n">
        <v>14800</v>
      </c>
      <c r="J9" s="9" t="inlineStr">
        <is>
          <t>Terramax Locações Açu</t>
        </is>
      </c>
      <c r="K9" s="11" t="n">
        <v>14000</v>
      </c>
    </row>
    <row r="10" ht="20" customHeight="1">
      <c r="A10" s="4" t="inlineStr">
        <is>
          <t>RE-007/2026</t>
        </is>
      </c>
      <c r="B10" s="4" t="inlineStr">
        <is>
          <t>EQ-07</t>
        </is>
      </c>
      <c r="C10" s="5" t="inlineStr">
        <is>
          <t>Caminhão Basculante 6x4 (12m³) c/ m</t>
        </is>
      </c>
      <c r="D10" s="4" t="inlineStr">
        <is>
          <t>CC-201</t>
        </is>
      </c>
      <c r="E10" s="4" t="inlineStr">
        <is>
          <t>M1 (3 semana</t>
        </is>
      </c>
      <c r="F10" s="5" t="inlineStr">
        <is>
          <t>Terramax Locações Açu</t>
        </is>
      </c>
      <c r="G10" s="6" t="n">
        <v>10500</v>
      </c>
      <c r="H10" s="5" t="inlineStr">
        <is>
          <t>Transloc Norte Fluminense</t>
        </is>
      </c>
      <c r="I10" s="6" t="n">
        <v>11200</v>
      </c>
      <c r="J10" s="5" t="inlineStr">
        <is>
          <t>Terramax Locações Açu</t>
        </is>
      </c>
      <c r="K10" s="7" t="n">
        <v>10500</v>
      </c>
    </row>
    <row r="11" ht="20" customHeight="1">
      <c r="A11" s="8" t="inlineStr">
        <is>
          <t>RE-008/2026</t>
        </is>
      </c>
      <c r="B11" s="8" t="inlineStr">
        <is>
          <t>EQ-08</t>
        </is>
      </c>
      <c r="C11" s="9" t="inlineStr">
        <is>
          <t>Compactador de Percussão a gasolina</t>
        </is>
      </c>
      <c r="D11" s="8" t="inlineStr">
        <is>
          <t>CC-201</t>
        </is>
      </c>
      <c r="E11" s="8" t="inlineStr">
        <is>
          <t>M1 (3 semana</t>
        </is>
      </c>
      <c r="F11" s="9" t="inlineStr">
        <is>
          <t>Casa do Construtor Campos</t>
        </is>
      </c>
      <c r="G11" s="10" t="n">
        <v>1450</v>
      </c>
      <c r="H11" s="9" t="inlineStr">
        <is>
          <t>Locafer Ferramentas</t>
        </is>
      </c>
      <c r="I11" s="10" t="n">
        <v>1550</v>
      </c>
      <c r="J11" s="9" t="inlineStr">
        <is>
          <t>Casa do Construtor Campos</t>
        </is>
      </c>
      <c r="K11" s="11" t="n">
        <v>1450</v>
      </c>
    </row>
    <row r="12" ht="20" customHeight="1">
      <c r="A12" s="4" t="inlineStr">
        <is>
          <t>RE-009/2026</t>
        </is>
      </c>
      <c r="B12" s="4" t="inlineStr">
        <is>
          <t>EQ-09</t>
        </is>
      </c>
      <c r="C12" s="5" t="inlineStr">
        <is>
          <t>Betoneira Elétrica 400 Litros Trifá</t>
        </is>
      </c>
      <c r="D12" s="4" t="inlineStr">
        <is>
          <t>CC-404</t>
        </is>
      </c>
      <c r="E12" s="4" t="inlineStr">
        <is>
          <t>M1 a M4 (4 m</t>
        </is>
      </c>
      <c r="F12" s="5" t="inlineStr">
        <is>
          <t>Casa do Construtor Campos</t>
        </is>
      </c>
      <c r="G12" s="6" t="n">
        <v>3000</v>
      </c>
      <c r="H12" s="5" t="inlineStr">
        <is>
          <t>Locafer Ferramentas</t>
        </is>
      </c>
      <c r="I12" s="6" t="n">
        <v>3200</v>
      </c>
      <c r="J12" s="5" t="inlineStr">
        <is>
          <t>Casa do Construtor Campos</t>
        </is>
      </c>
      <c r="K12" s="7" t="n">
        <v>3000</v>
      </c>
    </row>
    <row r="13" ht="20" customHeight="1">
      <c r="A13" s="8" t="inlineStr">
        <is>
          <t>RE-010/2026</t>
        </is>
      </c>
      <c r="B13" s="8" t="inlineStr">
        <is>
          <t>EQ-10</t>
        </is>
      </c>
      <c r="C13" s="9" t="inlineStr">
        <is>
          <t xml:space="preserve">Cimbramento e Escoramento Metálico </t>
        </is>
      </c>
      <c r="D13" s="8" t="inlineStr">
        <is>
          <t>CC-302</t>
        </is>
      </c>
      <c r="E13" s="8" t="inlineStr">
        <is>
          <t xml:space="preserve">M2 (35 dias </t>
        </is>
      </c>
      <c r="F13" s="9" t="inlineStr">
        <is>
          <t>Mills Estruturas S.A.</t>
        </is>
      </c>
      <c r="G13" s="10" t="n">
        <v>14850</v>
      </c>
      <c r="H13" s="9" t="inlineStr">
        <is>
          <t>Rohr Estruturas</t>
        </is>
      </c>
      <c r="I13" s="10" t="n">
        <v>15600</v>
      </c>
      <c r="J13" s="9" t="inlineStr">
        <is>
          <t>Mills Estruturas S.A.</t>
        </is>
      </c>
      <c r="K13" s="11" t="n">
        <v>14850</v>
      </c>
    </row>
    <row r="14" ht="20" customHeight="1">
      <c r="A14" s="4" t="inlineStr">
        <is>
          <t>RE-011/2026</t>
        </is>
      </c>
      <c r="B14" s="4" t="inlineStr">
        <is>
          <t>EQ-11</t>
        </is>
      </c>
      <c r="C14" s="5" t="inlineStr">
        <is>
          <t>Andaimes Tubulares Fachadeiros c/ G</t>
        </is>
      </c>
      <c r="D14" s="4" t="inlineStr">
        <is>
          <t>CC-403</t>
        </is>
      </c>
      <c r="E14" s="4" t="inlineStr">
        <is>
          <t>M3 a M5 (3 m</t>
        </is>
      </c>
      <c r="F14" s="5" t="inlineStr">
        <is>
          <t>Loxam Degrau Locações</t>
        </is>
      </c>
      <c r="G14" s="6" t="n">
        <v>9600</v>
      </c>
      <c r="H14" s="5" t="inlineStr">
        <is>
          <t>Mills Estruturas</t>
        </is>
      </c>
      <c r="I14" s="6" t="n">
        <v>10200</v>
      </c>
      <c r="J14" s="5" t="inlineStr">
        <is>
          <t>Loxam Degrau Locações</t>
        </is>
      </c>
      <c r="K14" s="7" t="n">
        <v>9600</v>
      </c>
    </row>
    <row r="15" ht="20" customHeight="1">
      <c r="A15" s="8" t="inlineStr">
        <is>
          <t>RE-012/2026</t>
        </is>
      </c>
      <c r="B15" s="8" t="inlineStr">
        <is>
          <t>EQ-12</t>
        </is>
      </c>
      <c r="C15" s="9" t="inlineStr">
        <is>
          <t>Máquina de Projeção Contínua de Arg</t>
        </is>
      </c>
      <c r="D15" s="8" t="inlineStr">
        <is>
          <t>CC-405</t>
        </is>
      </c>
      <c r="E15" s="8" t="inlineStr">
        <is>
          <t>M4 (1 mês)</t>
        </is>
      </c>
      <c r="F15" s="9" t="inlineStr">
        <is>
          <t>Putzknecht Brasil Locações</t>
        </is>
      </c>
      <c r="G15" s="10" t="n">
        <v>5200</v>
      </c>
      <c r="H15" s="9" t="inlineStr">
        <is>
          <t>Locadora Técnica Macaé</t>
        </is>
      </c>
      <c r="I15" s="10" t="n">
        <v>5600</v>
      </c>
      <c r="J15" s="9" t="inlineStr">
        <is>
          <t>Putzknecht Brasil Locações</t>
        </is>
      </c>
      <c r="K15" s="11" t="n">
        <v>5200</v>
      </c>
    </row>
    <row r="16" ht="20" customHeight="1">
      <c r="A16" s="4" t="inlineStr">
        <is>
          <t>RE-013/2026</t>
        </is>
      </c>
      <c r="B16" s="4" t="inlineStr">
        <is>
          <t>EQ-13</t>
        </is>
      </c>
      <c r="C16" s="5" t="inlineStr">
        <is>
          <t>Bomba Hidrostática de Teste de Pres</t>
        </is>
      </c>
      <c r="D16" s="4" t="inlineStr">
        <is>
          <t>CC-601</t>
        </is>
      </c>
      <c r="E16" s="4" t="inlineStr">
        <is>
          <t>M4 (1 quinze</t>
        </is>
      </c>
      <c r="F16" s="5" t="inlineStr">
        <is>
          <t>Alusolda / TestLoc Macaé</t>
        </is>
      </c>
      <c r="G16" s="6" t="n">
        <v>1200</v>
      </c>
      <c r="H16" s="5" t="inlineStr">
        <is>
          <t>Casa do Construtor Campos</t>
        </is>
      </c>
      <c r="I16" s="6" t="n">
        <v>1350</v>
      </c>
      <c r="J16" s="5" t="inlineStr">
        <is>
          <t>Alusolda / TestLoc Macaé</t>
        </is>
      </c>
      <c r="K16" s="7" t="n">
        <v>1200</v>
      </c>
    </row>
    <row r="17" ht="20" customHeight="1">
      <c r="A17" s="8" t="inlineStr">
        <is>
          <t>RE-014/2026</t>
        </is>
      </c>
      <c r="B17" s="8" t="inlineStr">
        <is>
          <t>EQ-14</t>
        </is>
      </c>
      <c r="C17" s="9" t="inlineStr">
        <is>
          <t>Plataforma Elevatória Tesoura Elétr</t>
        </is>
      </c>
      <c r="D17" s="8" t="inlineStr">
        <is>
          <t>CC-607</t>
        </is>
      </c>
      <c r="E17" s="8" t="inlineStr">
        <is>
          <t>M5 a M6 (2 m</t>
        </is>
      </c>
      <c r="F17" s="9" t="inlineStr">
        <is>
          <t>Loxam Degrau Locações</t>
        </is>
      </c>
      <c r="G17" s="10" t="n">
        <v>12200</v>
      </c>
      <c r="H17" s="9" t="inlineStr">
        <is>
          <t>Mills Plataformas</t>
        </is>
      </c>
      <c r="I17" s="10" t="n">
        <v>12900</v>
      </c>
      <c r="J17" s="9" t="inlineStr">
        <is>
          <t>Loxam Degrau Locações</t>
        </is>
      </c>
      <c r="K17" s="11" t="n">
        <v>12200</v>
      </c>
    </row>
    <row r="18" ht="20" customHeight="1">
      <c r="A18" s="4" t="inlineStr">
        <is>
          <t>RE-015/2026</t>
        </is>
      </c>
      <c r="B18" s="4" t="inlineStr">
        <is>
          <t>EQ-15</t>
        </is>
      </c>
      <c r="C18" s="5" t="inlineStr">
        <is>
          <t>Bomba de Vácuo Duplo Estágio 10 CFM</t>
        </is>
      </c>
      <c r="D18" s="4" t="inlineStr">
        <is>
          <t>CC-608</t>
        </is>
      </c>
      <c r="E18" s="4" t="inlineStr">
        <is>
          <t>M5 a M6 (1 m</t>
        </is>
      </c>
      <c r="F18" s="5" t="inlineStr">
        <is>
          <t>Casa do Construtor Campos</t>
        </is>
      </c>
      <c r="G18" s="6" t="n">
        <v>1800</v>
      </c>
      <c r="H18" s="5" t="inlineStr">
        <is>
          <t>Frigocenter Refrigeração</t>
        </is>
      </c>
      <c r="I18" s="6" t="n">
        <v>1950</v>
      </c>
      <c r="J18" s="5" t="inlineStr">
        <is>
          <t>Casa do Construtor Campos</t>
        </is>
      </c>
      <c r="K18" s="7" t="n">
        <v>1800</v>
      </c>
    </row>
    <row r="19" ht="20" customHeight="1">
      <c r="A19" s="8" t="inlineStr">
        <is>
          <t>RE-016/2026</t>
        </is>
      </c>
      <c r="B19" s="8" t="inlineStr">
        <is>
          <t>EQ-16</t>
        </is>
      </c>
      <c r="C19" s="9" t="inlineStr">
        <is>
          <t>Caçambas Estacionárias de Entulho 5</t>
        </is>
      </c>
      <c r="D19" s="8" t="inlineStr">
        <is>
          <t>CC-106</t>
        </is>
      </c>
      <c r="E19" s="8" t="inlineStr">
        <is>
          <t>M1 a M6 (6 m</t>
        </is>
      </c>
      <c r="F19" s="9" t="inlineStr">
        <is>
          <t>EcoAçu Resíduos Ambientais</t>
        </is>
      </c>
      <c r="G19" s="10" t="n">
        <v>10000</v>
      </c>
      <c r="H19" s="9" t="inlineStr">
        <is>
          <t>Disk Entulho São João da Barra</t>
        </is>
      </c>
      <c r="I19" s="10" t="n">
        <v>10799.9784000432</v>
      </c>
      <c r="J19" s="9" t="inlineStr">
        <is>
          <t>EcoAçu Resíduos Ambientais</t>
        </is>
      </c>
      <c r="K19" s="11" t="n">
        <v>10000</v>
      </c>
    </row>
    <row r="20" ht="20" customHeight="1">
      <c r="A20" s="4" t="inlineStr">
        <is>
          <t>RE-017/2026</t>
        </is>
      </c>
      <c r="B20" s="4" t="inlineStr">
        <is>
          <t>EQ-17</t>
        </is>
      </c>
      <c r="C20" s="5" t="inlineStr">
        <is>
          <t xml:space="preserve">Grupo Gerador Diesel Silenciado 50 </t>
        </is>
      </c>
      <c r="D20" s="4" t="inlineStr">
        <is>
          <t>CC-104</t>
        </is>
      </c>
      <c r="E20" s="4" t="inlineStr">
        <is>
          <t>M1 a M3 (3 m</t>
        </is>
      </c>
      <c r="F20" s="5" t="inlineStr">
        <is>
          <t>Tecnogera Locação S.A. Macaé</t>
        </is>
      </c>
      <c r="G20" s="6" t="n">
        <v>19800</v>
      </c>
      <c r="H20" s="5" t="inlineStr">
        <is>
          <t>Geradores Brasil Macaé</t>
        </is>
      </c>
      <c r="I20" s="6" t="n">
        <v>20700</v>
      </c>
      <c r="J20" s="5" t="inlineStr">
        <is>
          <t>Tecnogera Locação S.A. Macaé</t>
        </is>
      </c>
      <c r="K20" s="7" t="n">
        <v>19800</v>
      </c>
    </row>
    <row r="21" ht="24" customHeight="1">
      <c r="A21" s="12" t="inlineStr">
        <is>
          <t>TOTAL CONSOLIDADO DAS LOCAÇÕES (R$):</t>
        </is>
      </c>
      <c r="B21" s="13" t="n"/>
      <c r="C21" s="13" t="n"/>
      <c r="D21" s="13" t="n"/>
      <c r="E21" s="13" t="n"/>
      <c r="F21" s="13" t="n"/>
      <c r="G21" s="14">
        <f>SUM(G4:G20)</f>
        <v/>
      </c>
      <c r="H21" s="13" t="inlineStr"/>
      <c r="I21" s="14">
        <f>SUM(I4:I20)</f>
        <v/>
      </c>
      <c r="J21" s="13" t="inlineStr">
        <is>
          <t>Economia Negociada:</t>
        </is>
      </c>
      <c r="K21" s="14">
        <f>SUM(K4:K20)</f>
        <v/>
      </c>
    </row>
  </sheetData>
  <mergeCells count="2">
    <mergeCell ref="A21:F2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2026-09-10T22:25:50Z</dcterms:created>
  <dcterms:modified xsi:type="dcterms:W3CDTF">2026-09-10T22:25:50Z</dcterms:modified>
</cp:coreProperties>
</file>