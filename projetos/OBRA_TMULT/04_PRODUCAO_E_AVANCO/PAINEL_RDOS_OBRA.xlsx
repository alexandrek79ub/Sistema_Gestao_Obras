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 Geral de Produção" sheetId="1" state="visible" r:id="rId1"/>
    <sheet name="Registro Diário R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1B365D"/>
      <sz val="9"/>
    </font>
    <font>
      <name val="Calibri"/>
      <color rgb="00333333"/>
      <sz val="9"/>
    </font>
    <font>
      <name val="Calibri"/>
      <b val="1"/>
      <color rgb="00FFFFFF"/>
      <sz val="10"/>
    </font>
    <font>
      <name val="Calibri"/>
      <b val="1"/>
      <color rgb="00137333"/>
      <sz val="9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84B78"/>
        <bgColor rgb="00284B78"/>
      </patternFill>
    </fill>
    <fill>
      <patternFill patternType="solid">
        <fgColor rgb="00EAEEF3"/>
        <bgColor rgb="00EAEEF3"/>
      </patternFill>
    </fill>
    <fill>
      <patternFill patternType="solid">
        <fgColor rgb="00E6F4EA"/>
        <bgColor rgb="00E6F4EA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double">
        <color rgb="001B365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3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164" fontId="0" fillId="6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0" fontId="3" fillId="0" borderId="2" pivotButton="0" quotePrefix="0" xfId="0"/>
    <xf numFmtId="0" fontId="0" fillId="0" borderId="2" pivotButton="0" quotePrefix="0" xfId="0"/>
    <xf numFmtId="164" fontId="3" fillId="0" borderId="2" pivotButton="0" quotePrefix="0" xfId="0"/>
    <xf numFmtId="3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PAINEL CONSOLIDADO DE PRODUÇÃO E RDOS — TMULT — TERMINAL MULTIUSO (PORTO DO AÇU) — EDIFÍCIO ADMINISTRATIVO</t>
        </is>
      </c>
    </row>
    <row r="2" ht="18" customHeight="1">
      <c r="A2" s="2" t="inlineStr">
        <is>
          <t>Controle Contínuo de Diários de Obra, Mão de Obra, Clima, Equipamentos e FVS Bloqueantes</t>
        </is>
      </c>
    </row>
    <row r="3"/>
    <row r="4">
      <c r="B4" s="3" t="inlineStr">
        <is>
          <t xml:space="preserve">TOTAL DIAS REGISTRADOS
</t>
        </is>
      </c>
      <c r="D4" s="3" t="inlineStr">
        <is>
          <t xml:space="preserve">TOTAL HORAS-HOMEM (HH)
</t>
        </is>
      </c>
      <c r="F4" s="3" t="inlineStr">
        <is>
          <t xml:space="preserve">HORAS DE PARALISAÇÃO
</t>
        </is>
      </c>
    </row>
    <row r="5"/>
    <row r="6">
      <c r="B6" s="4" t="inlineStr">
        <is>
          <t>Dias com RDO Emitido:</t>
        </is>
      </c>
      <c r="C6" s="5">
        <f>COUNTA('Registro Diário RDO'!A6:A100)</f>
        <v/>
      </c>
      <c r="D6" s="4" t="inlineStr">
        <is>
          <t>Média de Efetivo / Dia:</t>
        </is>
      </c>
      <c r="E6" s="6">
        <f>AVERAGE('Registro Diário RDO'!H6:H100)</f>
        <v/>
      </c>
      <c r="F6" s="4" t="inlineStr">
        <is>
          <t>Total Horas Paralisação:</t>
        </is>
      </c>
      <c r="G6" s="6">
        <f>SUM('Registro Diário RDO'!F6:F100)</f>
        <v/>
      </c>
    </row>
    <row r="7"/>
    <row r="8"/>
    <row r="9">
      <c r="B9" s="7" t="inlineStr">
        <is>
          <t>SEMANA OPERACIONAL</t>
        </is>
      </c>
      <c r="C9" s="7" t="inlineStr">
        <is>
          <t>PERÍODO</t>
        </is>
      </c>
      <c r="D9" s="7" t="inlineStr">
        <is>
          <t>DIAS TRABALHADOS</t>
        </is>
      </c>
      <c r="E9" s="7" t="inlineStr">
        <is>
          <t>TOTAL HH</t>
        </is>
      </c>
      <c r="F9" s="7" t="inlineStr">
        <is>
          <t>STATUS CAMINHO CRÍTICO</t>
        </is>
      </c>
      <c r="G9" s="7" t="inlineStr">
        <is>
          <t>FVS LIBERADAS</t>
        </is>
      </c>
    </row>
    <row r="10">
      <c r="B10" s="8" t="inlineStr">
        <is>
          <t>Semana S01 (Mobilização)</t>
        </is>
      </c>
      <c r="C10" s="9" t="inlineStr">
        <is>
          <t>22/09/2026 a 26/09/2026</t>
        </is>
      </c>
      <c r="D10" s="10" t="n">
        <v>5</v>
      </c>
      <c r="E10" s="11">
        <f>SUM('Registro Diário RDO'!I6:I10)</f>
        <v/>
      </c>
      <c r="F10" s="12" t="inlineStr">
        <is>
          <t>No Prazo (Fundações Iniciadas)</t>
        </is>
      </c>
      <c r="G10" s="9" t="inlineStr">
        <is>
          <t>FVS-01 e FVS-02 Aprovadas</t>
        </is>
      </c>
    </row>
    <row r="11">
      <c r="B11" s="8" t="inlineStr">
        <is>
          <t>Semana S02 (Fundações)</t>
        </is>
      </c>
      <c r="C11" s="9" t="inlineStr">
        <is>
          <t>29/09/2026 a 03/10/2026</t>
        </is>
      </c>
      <c r="D11" s="10" t="inlineStr">
        <is>
          <t>-</t>
        </is>
      </c>
      <c r="E11" s="13" t="inlineStr">
        <is>
          <t>-</t>
        </is>
      </c>
      <c r="F11" s="9" t="inlineStr">
        <is>
          <t>Aguardando Início</t>
        </is>
      </c>
      <c r="G11" s="9" t="inlineStr">
        <is>
          <t>Pendente</t>
        </is>
      </c>
    </row>
    <row r="12">
      <c r="B12" s="8" t="inlineStr">
        <is>
          <t>Semana S03 (Baldrames)</t>
        </is>
      </c>
      <c r="C12" s="9" t="inlineStr">
        <is>
          <t>06/10/2026 a 10/10/2026</t>
        </is>
      </c>
      <c r="D12" s="10" t="inlineStr">
        <is>
          <t>-</t>
        </is>
      </c>
      <c r="E12" s="13" t="inlineStr">
        <is>
          <t>-</t>
        </is>
      </c>
      <c r="F12" s="9" t="inlineStr">
        <is>
          <t>Aguardando Início</t>
        </is>
      </c>
      <c r="G12" s="9" t="inlineStr">
        <is>
          <t>Pendente</t>
        </is>
      </c>
    </row>
    <row r="13">
      <c r="B13" s="8" t="inlineStr">
        <is>
          <t>Semana S04 (Pilares P1-P24)</t>
        </is>
      </c>
      <c r="C13" s="9" t="inlineStr">
        <is>
          <t>13/10/2026 a 17/10/2026</t>
        </is>
      </c>
      <c r="D13" s="10" t="inlineStr">
        <is>
          <t>-</t>
        </is>
      </c>
      <c r="E13" s="13" t="inlineStr">
        <is>
          <t>-</t>
        </is>
      </c>
      <c r="F13" s="9" t="inlineStr">
        <is>
          <t>Aguardando Início</t>
        </is>
      </c>
      <c r="G13" s="9" t="inlineStr">
        <is>
          <t>Pendente</t>
        </is>
      </c>
    </row>
    <row r="14">
      <c r="B14" s="8" t="inlineStr">
        <is>
          <t>Semana S05 (Laje H12 e Vigas)</t>
        </is>
      </c>
      <c r="C14" s="9" t="inlineStr">
        <is>
          <t>20/10/2026 a 24/10/2026</t>
        </is>
      </c>
      <c r="D14" s="10" t="inlineStr">
        <is>
          <t>-</t>
        </is>
      </c>
      <c r="E14" s="13" t="inlineStr">
        <is>
          <t>-</t>
        </is>
      </c>
      <c r="F14" s="9" t="inlineStr">
        <is>
          <t>Aguardando Início</t>
        </is>
      </c>
      <c r="G14" s="9" t="inlineStr">
        <is>
          <t>Pendente</t>
        </is>
      </c>
    </row>
    <row r="15">
      <c r="B15" s="8" t="inlineStr">
        <is>
          <t>Semana S06 (Desforma e Cura)</t>
        </is>
      </c>
      <c r="C15" s="9" t="inlineStr">
        <is>
          <t>27/10/2026 a 31/10/2026</t>
        </is>
      </c>
      <c r="D15" s="10" t="inlineStr">
        <is>
          <t>-</t>
        </is>
      </c>
      <c r="E15" s="13" t="inlineStr">
        <is>
          <t>-</t>
        </is>
      </c>
      <c r="F15" s="9" t="inlineStr">
        <is>
          <t>Aguardando Início</t>
        </is>
      </c>
      <c r="G15" s="9" t="inlineStr">
        <is>
          <t>Pendente</t>
        </is>
      </c>
    </row>
  </sheetData>
  <mergeCells count="5">
    <mergeCell ref="F4:G5"/>
    <mergeCell ref="D4:E5"/>
    <mergeCell ref="A2:H2"/>
    <mergeCell ref="A1:H1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2" customWidth="1" min="10" max="10"/>
    <col width="35" customWidth="1" min="11" max="11"/>
    <col width="25" customWidth="1" min="12" max="12"/>
    <col width="16" customWidth="1" min="13" max="13"/>
    <col width="50" customWidth="1" min="14" max="14"/>
  </cols>
  <sheetData>
    <row r="1" ht="25" customHeight="1">
      <c r="A1" s="1" t="inlineStr">
        <is>
          <t>DIÁRIO DE BORDO E REGISTRO DIÁRIO DE PRODUÇÃO (RDOS) — TMULT</t>
        </is>
      </c>
    </row>
    <row r="3" ht="28" customHeight="1">
      <c r="A3" s="14" t="inlineStr">
        <is>
          <t>Nº RDO</t>
        </is>
      </c>
      <c r="B3" s="14" t="inlineStr">
        <is>
          <t>Data</t>
        </is>
      </c>
      <c r="C3" s="14" t="inlineStr">
        <is>
          <t>Dia Semana</t>
        </is>
      </c>
      <c r="D3" s="14" t="inlineStr">
        <is>
          <t>Clima Manhã</t>
        </is>
      </c>
      <c r="E3" s="14" t="inlineStr">
        <is>
          <t>Clima Tarde</t>
        </is>
      </c>
      <c r="F3" s="14" t="inlineStr">
        <is>
          <t>Horas Paralisadas</t>
        </is>
      </c>
      <c r="G3" s="14" t="inlineStr">
        <is>
          <t>Efetivo Próprio</t>
        </is>
      </c>
      <c r="H3" s="14" t="inlineStr">
        <is>
          <t>Efetivo Terceiro</t>
        </is>
      </c>
      <c r="I3" s="14" t="inlineStr">
        <is>
          <t>Total Efetivo</t>
        </is>
      </c>
      <c r="J3" s="14" t="inlineStr">
        <is>
          <t>Total HH</t>
        </is>
      </c>
      <c r="K3" s="14" t="inlineStr">
        <is>
          <t>Pacotes EAP Executados</t>
        </is>
      </c>
      <c r="L3" s="14" t="inlineStr">
        <is>
          <t>FVS Inspecionada</t>
        </is>
      </c>
      <c r="M3" s="14" t="inlineStr">
        <is>
          <t>Status FVS</t>
        </is>
      </c>
      <c r="N3" s="14" t="inlineStr">
        <is>
          <t>Ocorrências e Observações de Canteiro</t>
        </is>
      </c>
    </row>
    <row r="4">
      <c r="A4" s="15" t="inlineStr">
        <is>
          <t>RDO-001</t>
        </is>
      </c>
      <c r="B4" s="15" t="inlineStr">
        <is>
          <t>22/09/2026</t>
        </is>
      </c>
      <c r="C4" s="16" t="inlineStr">
        <is>
          <t>Terça-feira</t>
        </is>
      </c>
      <c r="D4" s="16" t="inlineStr">
        <is>
          <t>Sol</t>
        </is>
      </c>
      <c r="E4" s="16" t="inlineStr">
        <is>
          <t>Sol</t>
        </is>
      </c>
      <c r="F4" s="17" t="n">
        <v>0</v>
      </c>
      <c r="G4" s="18" t="n">
        <v>5</v>
      </c>
      <c r="H4" s="18" t="n">
        <v>8</v>
      </c>
      <c r="I4" s="13">
        <f>G4+H4</f>
        <v/>
      </c>
      <c r="J4" s="11" t="n">
        <v>104</v>
      </c>
      <c r="K4" s="16" t="inlineStr">
        <is>
          <t>1.0.1 (Mobilização Canteiro NR-18) e 1.1.1 (Locação Topográfica da Obra)</t>
        </is>
      </c>
      <c r="L4" s="16" t="inlineStr">
        <is>
          <t>FVS-01-TOPOGRAFIA_E_LOCACAO</t>
        </is>
      </c>
      <c r="M4" s="19" t="inlineStr">
        <is>
          <t>Aprovado</t>
        </is>
      </c>
      <c r="N4" s="16" t="inlineStr">
        <is>
          <t>Início oficial de mobilização. Entrega e montagem dos 4 containers NR-18 e ligação provisória de água pipa e gerador. Execução do gabarito de tábua corrida perimetral com estação total (POP 21). DDS de integração NR-18 aplicado a todos os 13 trabalhadores.</t>
        </is>
      </c>
    </row>
    <row r="5">
      <c r="A5" s="20" t="inlineStr">
        <is>
          <t>RDO-002</t>
        </is>
      </c>
      <c r="B5" s="20" t="inlineStr">
        <is>
          <t>23/09/2026</t>
        </is>
      </c>
      <c r="C5" s="21" t="inlineStr">
        <is>
          <t>Quarta-feira</t>
        </is>
      </c>
      <c r="D5" s="21" t="inlineStr">
        <is>
          <t>Sol</t>
        </is>
      </c>
      <c r="E5" s="21" t="inlineStr">
        <is>
          <t>Nublado</t>
        </is>
      </c>
      <c r="F5" s="22" t="n">
        <v>0</v>
      </c>
      <c r="G5" s="23" t="n">
        <v>5</v>
      </c>
      <c r="H5" s="23" t="n">
        <v>10</v>
      </c>
      <c r="I5" s="24">
        <f>G5+H5</f>
        <v/>
      </c>
      <c r="J5" s="25" t="n">
        <v>120</v>
      </c>
      <c r="K5" s="21" t="inlineStr">
        <is>
          <t>1.1.1 (Escavação Mecânica e Manual de Sapatas S1 a S16)</t>
        </is>
      </c>
      <c r="L5" s="21" t="inlineStr">
        <is>
          <t>FVS-01-TOPOGRAFIA_E_LOCACAO e FVS-02-FUNDACOES</t>
        </is>
      </c>
      <c r="M5" s="19" t="inlineStr">
        <is>
          <t>Aprovado Parcial (Liberação de eixos 1 a 4)</t>
        </is>
      </c>
      <c r="N5" s="21" t="inlineStr">
        <is>
          <t>Escavação mecânica com mini retroescavadeira das primeiras 16 sapatas isoladas. Equipe de serventes fazendo o acerto manual de fundo de cava e descarte em caçamba. Sem interferências subterrâneas encontradas.</t>
        </is>
      </c>
    </row>
    <row r="6">
      <c r="A6" s="15" t="inlineStr">
        <is>
          <t>RDO-003</t>
        </is>
      </c>
      <c r="B6" s="15" t="inlineStr">
        <is>
          <t>24/09/2026</t>
        </is>
      </c>
      <c r="C6" s="16" t="inlineStr">
        <is>
          <t>Quinta-feira</t>
        </is>
      </c>
      <c r="D6" s="16" t="inlineStr">
        <is>
          <t>Nublado</t>
        </is>
      </c>
      <c r="E6" s="16" t="inlineStr">
        <is>
          <t>Chuva Fraca</t>
        </is>
      </c>
      <c r="F6" s="17" t="n">
        <v>1</v>
      </c>
      <c r="G6" s="18" t="n">
        <v>5</v>
      </c>
      <c r="H6" s="18" t="n">
        <v>11</v>
      </c>
      <c r="I6" s="13">
        <f>G6+H6</f>
        <v/>
      </c>
      <c r="J6" s="11" t="n">
        <v>120</v>
      </c>
      <c r="K6" s="16" t="inlineStr">
        <is>
          <t>1.1.1 (Escavação S17 a S32) e 1.1.2 (Apiloamento e Lastro de Concreto Magro S1 a S12)</t>
        </is>
      </c>
      <c r="L6" s="16" t="inlineStr">
        <is>
          <t>FVS-02-FUNDACOES (Lastro Magro e Nivelamento)</t>
        </is>
      </c>
      <c r="M6" s="19" t="inlineStr">
        <is>
          <t>Aprovado</t>
        </is>
      </c>
      <c r="N6" s="16" t="inlineStr">
        <is>
          <t>Chuva leve às 15h paralisou escavação externa por 1 hora. Equipe remanejada para montagem e corte de armaduras na bancada coberta do canteiro. Lançamento de concreto magro espessura 5cm nas sapatas S1 a S12.</t>
        </is>
      </c>
    </row>
    <row r="7">
      <c r="A7" s="20" t="inlineStr">
        <is>
          <t>RDO-004</t>
        </is>
      </c>
      <c r="B7" s="20" t="inlineStr">
        <is>
          <t>25/09/2026</t>
        </is>
      </c>
      <c r="C7" s="21" t="inlineStr">
        <is>
          <t>Sexta-feira</t>
        </is>
      </c>
      <c r="D7" s="21" t="inlineStr">
        <is>
          <t>Sol</t>
        </is>
      </c>
      <c r="E7" s="21" t="inlineStr">
        <is>
          <t>Sol</t>
        </is>
      </c>
      <c r="F7" s="22" t="n">
        <v>0</v>
      </c>
      <c r="G7" s="23" t="n">
        <v>5</v>
      </c>
      <c r="H7" s="23" t="n">
        <v>12</v>
      </c>
      <c r="I7" s="24">
        <f>G7+H7</f>
        <v/>
      </c>
      <c r="J7" s="25" t="n">
        <v>136</v>
      </c>
      <c r="K7" s="21" t="inlineStr">
        <is>
          <t>1.1.5 (Montagem de Fôrmas Sapatas S1-S16) e 1.1.10 (Posicionamento Armaduras S1-S16)</t>
        </is>
      </c>
      <c r="L7" s="21" t="inlineStr">
        <is>
          <t>FVS-02-FUNDACOES (Armação e Fôrmas de Sapatas)</t>
        </is>
      </c>
      <c r="M7" s="19" t="inlineStr">
        <is>
          <t>Aprovado c/ Ressalva (Ajustar espaçadores pastilha em S4 e S7)</t>
        </is>
      </c>
      <c r="N7" s="21" t="inlineStr">
        <is>
          <t>Carpinteiros posicionando fôrmas compensadas 17mm e armadores fixando as malhas de ferro CA-50 com espaçadores tipo pastilha para garantir cobrimento normativo de 40mm. Inspeção do Engenheiro liberou fôrmas após ajuste de pastilhas nas sapatas S4 e S7.</t>
        </is>
      </c>
    </row>
    <row r="8">
      <c r="A8" s="15" t="inlineStr">
        <is>
          <t>RDO-005</t>
        </is>
      </c>
      <c r="B8" s="15" t="inlineStr">
        <is>
          <t>26/09/2026</t>
        </is>
      </c>
      <c r="C8" s="16" t="inlineStr">
        <is>
          <t>Sábado (Meio Período)</t>
        </is>
      </c>
      <c r="D8" s="16" t="inlineStr">
        <is>
          <t>Sol</t>
        </is>
      </c>
      <c r="E8" s="16" t="inlineStr">
        <is>
          <t>Ensolarado</t>
        </is>
      </c>
      <c r="F8" s="17" t="n">
        <v>0</v>
      </c>
      <c r="G8" s="18" t="n">
        <v>3</v>
      </c>
      <c r="H8" s="18" t="n">
        <v>8</v>
      </c>
      <c r="I8" s="13">
        <f>G8+H8</f>
        <v/>
      </c>
      <c r="J8" s="11" t="n">
        <v>44</v>
      </c>
      <c r="K8" s="16" t="inlineStr">
        <is>
          <t>1.1.3 (Concretagem 1ª Etapa Sapatas S1-S16 fck 30 MPa)</t>
        </is>
      </c>
      <c r="L8" s="16" t="inlineStr">
        <is>
          <t>FVS-03-ESTRUTURA_CONCRETO (Concretagem Fundação)</t>
        </is>
      </c>
      <c r="M8" s="19" t="inlineStr">
        <is>
          <t>Aprovado (6 CPs moldados)</t>
        </is>
      </c>
      <c r="N8" s="16" t="inlineStr">
        <is>
          <t>Concretagem usinada de 18,5 m³ de concreto fck 30 MPa (NF 4821 - Usina Norte Fluminense). Slump test medido em 12 ± 2 cm. Moldados 6 corpos de prova para ensaios aos 7, 14 e 28 dias. Início imediato da cura úmida com aspersão de água e lona plástica.</t>
        </is>
      </c>
    </row>
    <row r="9">
      <c r="A9" s="26" t="inlineStr">
        <is>
          <t>TOTAL SEMANA 1</t>
        </is>
      </c>
      <c r="B9" s="27" t="n"/>
      <c r="C9" s="27" t="n"/>
      <c r="D9" s="27" t="n"/>
      <c r="E9" s="27" t="n"/>
      <c r="F9" s="28">
        <f>SUM(F4:F8)</f>
        <v/>
      </c>
      <c r="G9" s="28">
        <f>AVERAGE(G4:G8)</f>
        <v/>
      </c>
      <c r="H9" s="28">
        <f>AVERAGE(H4:H8)</f>
        <v/>
      </c>
      <c r="I9" s="28">
        <f>AVERAGE(I4:I8)</f>
        <v/>
      </c>
      <c r="J9" s="29">
        <f>SUM(J4:J8)</f>
        <v/>
      </c>
      <c r="K9" s="27" t="n"/>
      <c r="L9" s="27" t="n"/>
      <c r="M9" s="27" t="n"/>
      <c r="N9" s="27" t="n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2026-09-13T15:57:39Z</dcterms:created>
  <dcterms:modified xsi:type="dcterms:W3CDTF">2026-09-13T15:57:39Z</dcterms:modified>
</cp:coreProperties>
</file>